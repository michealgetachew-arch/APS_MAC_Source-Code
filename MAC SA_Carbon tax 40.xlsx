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CHAELG\Desktop\Second paper\EPLAN Python sample\MAC Final April 2026 figures\Excel file April 2026\"/>
    </mc:Choice>
  </mc:AlternateContent>
  <xr:revisionPtr revIDLastSave="0" documentId="13_ncr:1_{DFDD2AB5-5282-4D9E-926B-64F07640EAB2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MAC" sheetId="1" r:id="rId1"/>
  </sheets>
  <calcPr calcId="191029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" l="1"/>
  <c r="H7" i="1"/>
  <c r="H6" i="1"/>
  <c r="H5" i="1"/>
  <c r="H4" i="1"/>
  <c r="H3" i="1"/>
  <c r="H2" i="1"/>
  <c r="E2" i="1" l="1"/>
  <c r="E4" i="1" l="1"/>
  <c r="E5" i="1"/>
  <c r="E6" i="1"/>
  <c r="E7" i="1"/>
  <c r="E8" i="1"/>
  <c r="E3" i="1"/>
</calcChain>
</file>

<file path=xl/sharedStrings.xml><?xml version="1.0" encoding="utf-8"?>
<sst xmlns="http://schemas.openxmlformats.org/spreadsheetml/2006/main" count="11" uniqueCount="11">
  <si>
    <t>Measure</t>
  </si>
  <si>
    <t>C_effectiveness</t>
  </si>
  <si>
    <t>CO2 abatement 2020</t>
  </si>
  <si>
    <t>Total CO2 abated (2020-2030)</t>
  </si>
  <si>
    <t>Scenario_Ideal</t>
  </si>
  <si>
    <t>Scenario_E</t>
  </si>
  <si>
    <t>Scenario_C</t>
  </si>
  <si>
    <t>Scenario_D</t>
  </si>
  <si>
    <t>Scenario_B</t>
  </si>
  <si>
    <t>Scenario_F</t>
  </si>
  <si>
    <t>Scenario_A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</si>
</sst>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Border="1"/>
    <xf numFmtId="2" fontId="0" fillId="0" borderId="1" xfId="0" applyNumberFormat="1" applyBorder="1"/>
    <xf numFmtId="164" fontId="0" fillId="0" borderId="1" xfId="0" applyNumberFormat="1" applyBorder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workbookViewId="0">
      <selection activeCell="G2" sqref="G2:H8"/>
    </sheetView>
  </sheetViews>
  <sheetFormatPr defaultRowHeight="14.25" x14ac:dyDescent="0.45"/>
  <cols>
    <col min="2" max="2" width="21.265625" customWidth="1"/>
    <col min="3" max="3" width="26.265625" customWidth="1"/>
    <col min="4" max="4" width="21.73046875" customWidth="1"/>
    <col min="5" max="5" width="27.1328125" customWidth="1"/>
  </cols>
  <sheetData>
    <row r="1" spans="1:8" x14ac:dyDescent="0.45">
      <c r="A1" s="3"/>
      <c r="B1" s="1" t="s">
        <v>0</v>
      </c>
      <c r="C1" s="1" t="s">
        <v>1</v>
      </c>
      <c r="D1" s="1" t="s">
        <v>2</v>
      </c>
      <c r="E1" s="1" t="s">
        <v>3</v>
      </c>
    </row>
    <row r="2" spans="1:8" x14ac:dyDescent="0.45">
      <c r="A2" s="1">
        <v>0</v>
      </c>
      <c r="B2" s="3" t="s">
        <v>4</v>
      </c>
      <c r="C2" s="4">
        <v>-109.27</v>
      </c>
      <c r="D2" s="5">
        <v>0.42699999999999999</v>
      </c>
      <c r="E2" s="4">
        <f>D2*10</f>
        <v>4.2699999999999996</v>
      </c>
      <c r="G2">
        <v>-69.27</v>
      </c>
      <c r="H2" s="6">
        <f>((C2)-(G2))/-G2</f>
        <v>-0.57745055579616</v>
      </c>
    </row>
    <row r="3" spans="1:8" x14ac:dyDescent="0.45">
      <c r="A3" s="1">
        <v>1</v>
      </c>
      <c r="B3" s="3" t="s">
        <v>5</v>
      </c>
      <c r="C3" s="4">
        <v>-4.51</v>
      </c>
      <c r="D3" s="5">
        <v>0.21282877381500012</v>
      </c>
      <c r="E3" s="4">
        <f>10*D3</f>
        <v>2.1282877381500014</v>
      </c>
      <c r="G3">
        <v>35.49</v>
      </c>
      <c r="H3" s="6">
        <f>((C3)-G3)/G3</f>
        <v>-1.1270780501549731</v>
      </c>
    </row>
    <row r="4" spans="1:8" x14ac:dyDescent="0.45">
      <c r="A4" s="1">
        <v>2</v>
      </c>
      <c r="B4" s="3" t="s">
        <v>9</v>
      </c>
      <c r="C4" s="4">
        <v>-2.75</v>
      </c>
      <c r="D4" s="5">
        <v>0.21098986366500008</v>
      </c>
      <c r="E4" s="4">
        <f t="shared" ref="E4:E8" si="0">10*D4</f>
        <v>2.109898636650001</v>
      </c>
      <c r="G4">
        <v>37.24</v>
      </c>
      <c r="H4" s="6">
        <f t="shared" ref="H4:H8" si="1">((C4)-G4)/G4</f>
        <v>-1.0738453276047262</v>
      </c>
    </row>
    <row r="5" spans="1:8" x14ac:dyDescent="0.45">
      <c r="A5" s="1">
        <v>3</v>
      </c>
      <c r="B5" s="3" t="s">
        <v>6</v>
      </c>
      <c r="C5" s="4">
        <v>83.53</v>
      </c>
      <c r="D5" s="5">
        <v>0.11275862692500009</v>
      </c>
      <c r="E5" s="4">
        <f t="shared" si="0"/>
        <v>1.1275862692500009</v>
      </c>
      <c r="G5">
        <v>123.53</v>
      </c>
      <c r="H5" s="6">
        <f t="shared" si="1"/>
        <v>-0.32380798186675303</v>
      </c>
    </row>
    <row r="6" spans="1:8" x14ac:dyDescent="0.45">
      <c r="A6" s="1">
        <v>4</v>
      </c>
      <c r="B6" s="3" t="s">
        <v>7</v>
      </c>
      <c r="C6" s="4">
        <v>84.72</v>
      </c>
      <c r="D6" s="5">
        <v>0.11274190956000009</v>
      </c>
      <c r="E6" s="4">
        <f t="shared" si="0"/>
        <v>1.127419095600001</v>
      </c>
      <c r="G6">
        <v>124.72</v>
      </c>
      <c r="H6" s="6">
        <f t="shared" si="1"/>
        <v>-0.32071840923669021</v>
      </c>
    </row>
    <row r="7" spans="1:8" x14ac:dyDescent="0.45">
      <c r="A7" s="1">
        <v>5</v>
      </c>
      <c r="B7" s="3" t="s">
        <v>8</v>
      </c>
      <c r="C7" s="4">
        <v>102.26</v>
      </c>
      <c r="D7" s="5">
        <v>6.6668851619999997E-2</v>
      </c>
      <c r="E7" s="4">
        <f t="shared" si="0"/>
        <v>0.66668851620000003</v>
      </c>
      <c r="G7">
        <v>142.26</v>
      </c>
      <c r="H7" s="6">
        <f t="shared" si="1"/>
        <v>-0.28117531280753544</v>
      </c>
    </row>
    <row r="8" spans="1:8" x14ac:dyDescent="0.45">
      <c r="A8" s="1">
        <v>6</v>
      </c>
      <c r="B8" s="3" t="s">
        <v>10</v>
      </c>
      <c r="C8" s="4">
        <v>232.12</v>
      </c>
      <c r="D8" s="5">
        <v>7.9156723275000035E-2</v>
      </c>
      <c r="E8" s="4">
        <f t="shared" si="0"/>
        <v>0.79156723275000029</v>
      </c>
      <c r="G8">
        <v>272.12</v>
      </c>
      <c r="H8" s="6">
        <f t="shared" si="1"/>
        <v>-0.14699397324709687</v>
      </c>
    </row>
    <row r="9" spans="1:8" x14ac:dyDescent="0.45">
      <c r="A9" s="2"/>
    </row>
    <row r="10" spans="1:8" x14ac:dyDescent="0.45">
      <c r="A10" s="1"/>
    </row>
    <row r="11" spans="1:8" x14ac:dyDescent="0.45">
      <c r="A11" s="1"/>
    </row>
    <row r="12" spans="1:8" x14ac:dyDescent="0.45">
      <c r="A12" s="1"/>
    </row>
    <row r="13" spans="1:8" x14ac:dyDescent="0.45">
      <c r="A13" s="1"/>
    </row>
    <row r="14" spans="1:8" x14ac:dyDescent="0.45">
      <c r="A14" s="1"/>
    </row>
    <row r="15" spans="1:8" x14ac:dyDescent="0.45">
      <c r="A15" s="1"/>
    </row>
    <row r="16" spans="1:8" x14ac:dyDescent="0.45">
      <c r="A16" s="1"/>
    </row>
    <row r="17" spans="1:1" x14ac:dyDescent="0.45">
      <c r="A17" s="1"/>
    </row>
    <row r="18" spans="1:1" x14ac:dyDescent="0.45">
      <c r="A18" s="1"/>
    </row>
    <row r="19" spans="1:1" x14ac:dyDescent="0.45">
      <c r="A19" s="1"/>
    </row>
    <row r="20" spans="1:1" x14ac:dyDescent="0.45">
      <c r="A20" s="1"/>
    </row>
    <row r="21" spans="1:1" x14ac:dyDescent="0.45">
      <c r="A21" s="1"/>
    </row>
    <row r="22" spans="1:1" x14ac:dyDescent="0.45">
      <c r="A22" s="1"/>
    </row>
    <row r="23" spans="1:1" x14ac:dyDescent="0.45">
      <c r="A23" s="1"/>
    </row>
    <row r="24" spans="1:1" x14ac:dyDescent="0.45">
      <c r="A24" s="1"/>
    </row>
    <row r="25" spans="1:1" x14ac:dyDescent="0.45">
      <c r="A25" s="1"/>
    </row>
    <row r="26" spans="1:1" x14ac:dyDescent="0.45">
      <c r="A26" s="1"/>
    </row>
    <row r="27" spans="1:1" x14ac:dyDescent="0.45">
      <c r="A27" s="1"/>
    </row>
    <row r="28" spans="1:1" x14ac:dyDescent="0.45">
      <c r="A28" s="1"/>
    </row>
    <row r="29" spans="1:1" x14ac:dyDescent="0.45">
      <c r="A29" s="1"/>
    </row>
    <row r="30" spans="1:1" x14ac:dyDescent="0.45">
      <c r="A30" s="1"/>
    </row>
    <row r="31" spans="1:1" x14ac:dyDescent="0.45">
      <c r="A31" s="1"/>
    </row>
    <row r="32" spans="1:1" x14ac:dyDescent="0.45">
      <c r="A32" s="1"/>
    </row>
    <row r="33" spans="1:1" x14ac:dyDescent="0.45">
      <c r="A33" s="1"/>
    </row>
    <row r="34" spans="1:1" x14ac:dyDescent="0.45">
      <c r="A34" s="1"/>
    </row>
    <row r="35" spans="1:1" x14ac:dyDescent="0.45">
      <c r="A35" s="1"/>
    </row>
    <row r="36" spans="1:1" x14ac:dyDescent="0.45">
      <c r="A36" s="1"/>
    </row>
    <row r="37" spans="1:1" x14ac:dyDescent="0.45">
      <c r="A37" s="1"/>
    </row>
    <row r="38" spans="1:1" x14ac:dyDescent="0.45">
      <c r="A38" s="1"/>
    </row>
    <row r="39" spans="1:1" x14ac:dyDescent="0.45">
      <c r="A39" s="1"/>
    </row>
    <row r="40" spans="1:1" x14ac:dyDescent="0.45">
      <c r="A40" s="1"/>
    </row>
    <row r="41" spans="1:1" x14ac:dyDescent="0.45">
      <c r="A41" s="1"/>
    </row>
    <row r="42" spans="1:1" x14ac:dyDescent="0.45">
      <c r="A42" s="1"/>
    </row>
    <row r="43" spans="1:1" x14ac:dyDescent="0.45">
      <c r="A43" s="1"/>
    </row>
    <row r="44" spans="1:1" x14ac:dyDescent="0.45">
      <c r="A44" s="1"/>
    </row>
    <row r="45" spans="1:1" x14ac:dyDescent="0.45">
      <c r="A45" s="1"/>
    </row>
    <row r="46" spans="1:1" x14ac:dyDescent="0.45">
      <c r="A46" s="1"/>
    </row>
    <row r="47" spans="1:1" x14ac:dyDescent="0.45">
      <c r="A47" s="1"/>
    </row>
    <row r="48" spans="1:1" x14ac:dyDescent="0.45">
      <c r="A48" s="1"/>
    </row>
    <row r="49" spans="1:1" x14ac:dyDescent="0.45">
      <c r="A49" s="1"/>
    </row>
    <row r="50" spans="1:1" x14ac:dyDescent="0.45">
      <c r="A50" s="1"/>
    </row>
    <row r="51" spans="1:1" x14ac:dyDescent="0.45">
      <c r="A51" s="1"/>
    </row>
    <row r="52" spans="1:1" x14ac:dyDescent="0.45">
      <c r="A5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Micheal Wolde</dc:creator>
  <cp:lastModifiedBy>MICHAELG</cp:lastModifiedBy>
  <dcterms:created xsi:type="dcterms:W3CDTF">2021-03-09T17:54:58Z</dcterms:created>
  <dcterms:modified xsi:type="dcterms:W3CDTF">2026-04-09T05:37:24Z</dcterms:modified>
</cp:coreProperties>
</file>