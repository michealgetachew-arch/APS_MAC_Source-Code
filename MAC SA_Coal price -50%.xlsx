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tasew T\OneDrive\Desktop\Second paper\EPLAN Python sample\Sent out Feb 21_2025\"/>
    </mc:Choice>
  </mc:AlternateContent>
  <xr:revisionPtr revIDLastSave="0" documentId="13_ncr:1_{3C3B8D44-F53C-43E9-9C78-40EEDB60AC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C" sheetId="1" r:id="rId1"/>
  </sheets>
  <calcPr calcId="181029" iterateDelta="0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3" i="1"/>
  <c r="H2" i="1"/>
  <c r="E2" i="1"/>
  <c r="E4" i="1" l="1"/>
  <c r="E5" i="1"/>
  <c r="E6" i="1"/>
  <c r="E7" i="1"/>
  <c r="E8" i="1"/>
  <c r="E3" i="1"/>
</calcChain>
</file>

<file path=xl/sharedStrings.xml><?xml version="1.0" encoding="utf-8"?>
<sst xmlns="http://schemas.openxmlformats.org/spreadsheetml/2006/main" count="11" uniqueCount="11">
  <si>
    <t>Measure</t>
  </si>
  <si>
    <t>C_effectiveness</t>
  </si>
  <si>
    <t>CO2 abatement 2020</t>
  </si>
  <si>
    <t>Total CO2 abated (2020-2030)</t>
  </si>
  <si>
    <t>Scenario_D</t>
  </si>
  <si>
    <t>Scenario_C</t>
  </si>
  <si>
    <t>Scenario_E</t>
  </si>
  <si>
    <t>Scenario_Ideal</t>
  </si>
  <si>
    <t>Scenario_A</t>
  </si>
  <si>
    <t>Scenario_B</t>
  </si>
  <si>
    <t>Scenario_F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</si>
</sst>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H6" sqref="H6"/>
    </sheetView>
  </sheetViews>
  <sheetFormatPr defaultRowHeight="15" x14ac:dyDescent="0.25"/>
  <cols>
    <col min="2" max="2" width="21.28515625" customWidth="1"/>
    <col min="3" max="3" width="26.28515625" customWidth="1"/>
    <col min="4" max="4" width="21.7109375" customWidth="1"/>
    <col min="5" max="5" width="27.140625" customWidth="1"/>
  </cols>
  <sheetData>
    <row r="1" spans="1:8" x14ac:dyDescent="0.25">
      <c r="A1" s="3"/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25">
      <c r="A2" s="1">
        <v>0</v>
      </c>
      <c r="B2" s="3" t="s">
        <v>7</v>
      </c>
      <c r="C2" s="4">
        <v>-20.14</v>
      </c>
      <c r="D2" s="5">
        <v>0.42699999999999999</v>
      </c>
      <c r="E2" s="4">
        <f>D2*10</f>
        <v>4.2699999999999996</v>
      </c>
      <c r="G2" s="4">
        <v>-69.27</v>
      </c>
      <c r="H2" s="6">
        <f>((C2)-(G2))/-G2</f>
        <v>0.70925364515663347</v>
      </c>
    </row>
    <row r="3" spans="1:8" x14ac:dyDescent="0.25">
      <c r="A3" s="1">
        <v>1</v>
      </c>
      <c r="B3" s="3" t="s">
        <v>6</v>
      </c>
      <c r="C3" s="4">
        <v>93.52</v>
      </c>
      <c r="D3" s="5">
        <v>0.21282877381500012</v>
      </c>
      <c r="E3" s="4">
        <f>10*D3</f>
        <v>2.1282877381500014</v>
      </c>
      <c r="G3" s="4">
        <v>35.49</v>
      </c>
      <c r="H3" s="6">
        <f>((C3)-(G3))/G3</f>
        <v>1.6351084812623271</v>
      </c>
    </row>
    <row r="4" spans="1:8" x14ac:dyDescent="0.25">
      <c r="A4" s="1">
        <v>2</v>
      </c>
      <c r="B4" s="3" t="s">
        <v>10</v>
      </c>
      <c r="C4" s="4">
        <v>95.78</v>
      </c>
      <c r="D4" s="5">
        <v>0.21098986366500008</v>
      </c>
      <c r="E4" s="4">
        <f t="shared" ref="E4:E8" si="0">10*D4</f>
        <v>2.109898636650001</v>
      </c>
      <c r="G4" s="4">
        <v>37.24</v>
      </c>
      <c r="H4" s="6">
        <f t="shared" ref="H4:H8" si="1">((C4)-(G4))/G4</f>
        <v>1.5719656283566057</v>
      </c>
    </row>
    <row r="5" spans="1:8" x14ac:dyDescent="0.25">
      <c r="A5" s="1">
        <v>3</v>
      </c>
      <c r="B5" s="3" t="s">
        <v>5</v>
      </c>
      <c r="C5" s="4">
        <v>139.78</v>
      </c>
      <c r="D5" s="5">
        <v>0.11275862692500009</v>
      </c>
      <c r="E5" s="4">
        <f t="shared" si="0"/>
        <v>1.1275862692500009</v>
      </c>
      <c r="G5" s="4">
        <v>123.53</v>
      </c>
      <c r="H5" s="6">
        <f t="shared" si="1"/>
        <v>0.13154699263336841</v>
      </c>
    </row>
    <row r="6" spans="1:8" x14ac:dyDescent="0.25">
      <c r="A6" s="1">
        <v>4</v>
      </c>
      <c r="B6" s="3" t="s">
        <v>4</v>
      </c>
      <c r="C6" s="4">
        <v>140.97</v>
      </c>
      <c r="D6" s="5">
        <v>0.11274190956000009</v>
      </c>
      <c r="E6" s="4">
        <f t="shared" si="0"/>
        <v>1.127419095600001</v>
      </c>
      <c r="G6" s="4">
        <v>124.72</v>
      </c>
      <c r="H6" s="6">
        <f t="shared" si="1"/>
        <v>0.1302918537524054</v>
      </c>
    </row>
    <row r="7" spans="1:8" x14ac:dyDescent="0.25">
      <c r="A7" s="1">
        <v>5</v>
      </c>
      <c r="B7" s="3" t="s">
        <v>9</v>
      </c>
      <c r="C7" s="4">
        <v>169.73</v>
      </c>
      <c r="D7" s="5">
        <v>6.6668851619999997E-2</v>
      </c>
      <c r="E7" s="4">
        <f t="shared" si="0"/>
        <v>0.66668851620000003</v>
      </c>
      <c r="G7" s="4">
        <v>142.26</v>
      </c>
      <c r="H7" s="6">
        <f t="shared" si="1"/>
        <v>0.19309714607057502</v>
      </c>
    </row>
    <row r="8" spans="1:8" x14ac:dyDescent="0.25">
      <c r="A8" s="1">
        <v>6</v>
      </c>
      <c r="B8" s="3" t="s">
        <v>8</v>
      </c>
      <c r="C8" s="4">
        <v>295.26</v>
      </c>
      <c r="D8" s="5">
        <v>7.9156723275000035E-2</v>
      </c>
      <c r="E8" s="4">
        <f t="shared" si="0"/>
        <v>0.79156723275000029</v>
      </c>
      <c r="G8" s="4">
        <v>272.12</v>
      </c>
      <c r="H8" s="6">
        <f t="shared" si="1"/>
        <v>8.5036013523445489E-2</v>
      </c>
    </row>
    <row r="9" spans="1:8" x14ac:dyDescent="0.25">
      <c r="A9" s="2"/>
    </row>
    <row r="10" spans="1:8" x14ac:dyDescent="0.25">
      <c r="A10" s="1"/>
    </row>
    <row r="11" spans="1:8" x14ac:dyDescent="0.25">
      <c r="A11" s="1"/>
    </row>
    <row r="12" spans="1:8" x14ac:dyDescent="0.25">
      <c r="A12" s="1"/>
    </row>
    <row r="13" spans="1:8" x14ac:dyDescent="0.25">
      <c r="A13" s="1"/>
    </row>
    <row r="14" spans="1:8" x14ac:dyDescent="0.25">
      <c r="A14" s="1"/>
    </row>
    <row r="15" spans="1:8" x14ac:dyDescent="0.25">
      <c r="A15" s="1"/>
    </row>
    <row r="16" spans="1:8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Wolde</dc:creator>
  <cp:lastModifiedBy>Micheal Wolde</cp:lastModifiedBy>
  <dcterms:created xsi:type="dcterms:W3CDTF">2021-03-09T17:54:58Z</dcterms:created>
  <dcterms:modified xsi:type="dcterms:W3CDTF">2026-01-26T13:59:59Z</dcterms:modified>
</cp:coreProperties>
</file>