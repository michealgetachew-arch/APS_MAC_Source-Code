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5C48093F-FD9F-4064-B810-3460918C177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uthors" sheetId="1" r:id="rId1"/>
    <sheet name="Data, Utilities, Consumabales" sheetId="2" r:id="rId2"/>
    <sheet name="Economic &amp; COeq emission Abat. " sheetId="3" r:id="rId3"/>
    <sheet name="MACC " sheetId="4" r:id="rId4"/>
  </sheets>
  <externalReferences>
    <externalReference r:id="rId5"/>
  </externalReferences>
  <definedNames>
    <definedName name="Number_of_years">'[1]Discount factors'!$B$6:$B$55</definedName>
  </definedNames>
  <calcPr calcId="181029" iterate="1" iterateDelta="1.0000000474974513E-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4" i="3" l="1"/>
  <c r="K44" i="3"/>
  <c r="J44" i="3"/>
  <c r="I44" i="3"/>
  <c r="H44" i="3"/>
  <c r="G44" i="3"/>
  <c r="F44" i="3"/>
  <c r="E44" i="3"/>
  <c r="L13" i="3"/>
  <c r="I13" i="3"/>
  <c r="H13" i="3"/>
  <c r="G12" i="3"/>
  <c r="F11" i="3"/>
  <c r="T14" i="3" l="1"/>
  <c r="U14" i="3"/>
  <c r="U11" i="3"/>
  <c r="C3" i="4" s="1"/>
  <c r="L46" i="3"/>
  <c r="L41" i="3"/>
  <c r="L31" i="3"/>
  <c r="L26" i="3"/>
  <c r="L25" i="3"/>
  <c r="L24" i="3"/>
  <c r="L23" i="3"/>
  <c r="L22" i="3"/>
  <c r="L21" i="3"/>
  <c r="L20" i="3"/>
  <c r="L19" i="3"/>
  <c r="L27" i="3" s="1"/>
  <c r="L28" i="3" s="1"/>
  <c r="L18" i="3"/>
  <c r="L17" i="3"/>
  <c r="L16" i="3"/>
  <c r="L15" i="3"/>
  <c r="L14" i="3"/>
  <c r="M12" i="2"/>
  <c r="M11" i="2"/>
  <c r="L11" i="2"/>
  <c r="M7" i="2"/>
  <c r="M6" i="2"/>
  <c r="M5" i="2"/>
  <c r="U12" i="3" l="1"/>
  <c r="U13" i="3" s="1"/>
  <c r="AB5" i="3"/>
  <c r="AC5" i="3"/>
  <c r="L50" i="3"/>
  <c r="P14" i="3" l="1"/>
  <c r="Q14" i="3"/>
  <c r="R14" i="3"/>
  <c r="S14" i="3"/>
  <c r="O14" i="3"/>
  <c r="F29" i="3" l="1"/>
  <c r="F26" i="3"/>
  <c r="F25" i="3"/>
  <c r="F24" i="3"/>
  <c r="F23" i="3"/>
  <c r="F21" i="3"/>
  <c r="F20" i="3"/>
  <c r="F19" i="3"/>
  <c r="F17" i="3"/>
  <c r="F16" i="3"/>
  <c r="F15" i="3"/>
  <c r="F14" i="3"/>
  <c r="F22" i="3" l="1"/>
  <c r="F18" i="3"/>
  <c r="K41" i="3"/>
  <c r="J41" i="3"/>
  <c r="I41" i="3"/>
  <c r="H41" i="3"/>
  <c r="G41" i="3"/>
  <c r="F41" i="3"/>
  <c r="K24" i="3"/>
  <c r="J24" i="3"/>
  <c r="I24" i="3"/>
  <c r="H24" i="3"/>
  <c r="G24" i="3"/>
  <c r="N16" i="3" l="1"/>
  <c r="T11" i="3"/>
  <c r="C5" i="4" s="1"/>
  <c r="S11" i="3"/>
  <c r="S12" i="3" s="1"/>
  <c r="S13" i="3" s="1"/>
  <c r="R11" i="3"/>
  <c r="C7" i="4" s="1"/>
  <c r="Q11" i="3"/>
  <c r="C6" i="4" s="1"/>
  <c r="P11" i="3"/>
  <c r="C8" i="4" s="1"/>
  <c r="O11" i="3"/>
  <c r="O16" i="3" s="1"/>
  <c r="E53" i="3"/>
  <c r="E54" i="3" s="1"/>
  <c r="F54" i="3" s="1"/>
  <c r="G54" i="3" s="1"/>
  <c r="H54" i="3" s="1"/>
  <c r="I54" i="3" s="1"/>
  <c r="J54" i="3" s="1"/>
  <c r="K54" i="3" s="1"/>
  <c r="L54" i="3" s="1"/>
  <c r="J29" i="3"/>
  <c r="K29" i="3" s="1"/>
  <c r="H31" i="3"/>
  <c r="J31" i="3" s="1"/>
  <c r="K31" i="3" s="1"/>
  <c r="F43" i="3"/>
  <c r="F42" i="3"/>
  <c r="F39" i="3"/>
  <c r="F33" i="3"/>
  <c r="F32" i="3"/>
  <c r="G30" i="3"/>
  <c r="J30" i="3" s="1"/>
  <c r="K30" i="3" s="1"/>
  <c r="K46" i="3"/>
  <c r="J46" i="3"/>
  <c r="I47" i="3"/>
  <c r="I48" i="3" s="1"/>
  <c r="I46" i="3"/>
  <c r="H46" i="3"/>
  <c r="E46" i="3"/>
  <c r="G46" i="3"/>
  <c r="F46" i="3"/>
  <c r="E27" i="3"/>
  <c r="K47" i="3" s="1"/>
  <c r="K48" i="3" s="1"/>
  <c r="P12" i="3" l="1"/>
  <c r="P13" i="3" s="1"/>
  <c r="T12" i="3"/>
  <c r="T13" i="3" s="1"/>
  <c r="R12" i="3"/>
  <c r="R13" i="3" s="1"/>
  <c r="U16" i="3"/>
  <c r="Q16" i="3"/>
  <c r="R16" i="3"/>
  <c r="P16" i="3"/>
  <c r="S16" i="3"/>
  <c r="T16" i="3"/>
  <c r="C4" i="4"/>
  <c r="K49" i="3"/>
  <c r="E47" i="3"/>
  <c r="E48" i="3" s="1"/>
  <c r="E28" i="3"/>
  <c r="J47" i="3"/>
  <c r="J48" i="3" s="1"/>
  <c r="J49" i="3" s="1"/>
  <c r="Q12" i="3"/>
  <c r="Q13" i="3" s="1"/>
  <c r="N17" i="3"/>
  <c r="C9" i="4"/>
  <c r="I49" i="3"/>
  <c r="O12" i="3"/>
  <c r="F47" i="3"/>
  <c r="F48" i="3" s="1"/>
  <c r="F49" i="3" s="1"/>
  <c r="H47" i="3"/>
  <c r="H48" i="3" s="1"/>
  <c r="H49" i="3" s="1"/>
  <c r="E49" i="3"/>
  <c r="G47" i="3"/>
  <c r="G48" i="3" s="1"/>
  <c r="G49" i="3" s="1"/>
  <c r="E50" i="3"/>
  <c r="G26" i="3"/>
  <c r="H26" i="3"/>
  <c r="I26" i="3"/>
  <c r="J26" i="3"/>
  <c r="K26" i="3"/>
  <c r="G25" i="3"/>
  <c r="H25" i="3"/>
  <c r="I25" i="3"/>
  <c r="J25" i="3"/>
  <c r="K25" i="3"/>
  <c r="G23" i="3"/>
  <c r="H23" i="3"/>
  <c r="I23" i="3"/>
  <c r="J23" i="3"/>
  <c r="K23" i="3"/>
  <c r="G22" i="3"/>
  <c r="H22" i="3"/>
  <c r="I22" i="3"/>
  <c r="J22" i="3"/>
  <c r="K22" i="3"/>
  <c r="G21" i="3"/>
  <c r="H21" i="3"/>
  <c r="I21" i="3"/>
  <c r="J21" i="3"/>
  <c r="K21" i="3"/>
  <c r="G20" i="3"/>
  <c r="H20" i="3"/>
  <c r="I20" i="3"/>
  <c r="J20" i="3"/>
  <c r="K20" i="3"/>
  <c r="G19" i="3"/>
  <c r="H19" i="3"/>
  <c r="I19" i="3"/>
  <c r="J19" i="3"/>
  <c r="K19" i="3"/>
  <c r="G18" i="3"/>
  <c r="H18" i="3"/>
  <c r="I18" i="3"/>
  <c r="J18" i="3"/>
  <c r="K18" i="3"/>
  <c r="G17" i="3"/>
  <c r="H17" i="3"/>
  <c r="I17" i="3"/>
  <c r="J17" i="3"/>
  <c r="K17" i="3"/>
  <c r="G16" i="3"/>
  <c r="H16" i="3"/>
  <c r="I16" i="3"/>
  <c r="J16" i="3"/>
  <c r="K16" i="3"/>
  <c r="G15" i="3"/>
  <c r="H15" i="3"/>
  <c r="I15" i="3"/>
  <c r="J15" i="3"/>
  <c r="K15" i="3"/>
  <c r="G14" i="3"/>
  <c r="J14" i="3" s="1"/>
  <c r="N5" i="3" l="1"/>
  <c r="O5" i="3"/>
  <c r="U17" i="3"/>
  <c r="U15" i="3"/>
  <c r="T15" i="3"/>
  <c r="R15" i="3"/>
  <c r="P15" i="3"/>
  <c r="S15" i="3"/>
  <c r="Q15" i="3"/>
  <c r="O15" i="3"/>
  <c r="P17" i="3"/>
  <c r="R17" i="3"/>
  <c r="T17" i="3"/>
  <c r="Q17" i="3"/>
  <c r="S17" i="3"/>
  <c r="O17" i="3"/>
  <c r="O13" i="3"/>
  <c r="K14" i="3"/>
  <c r="G27" i="3"/>
  <c r="G28" i="3" s="1"/>
  <c r="K13" i="3"/>
  <c r="K27" i="3" s="1"/>
  <c r="F27" i="3"/>
  <c r="F28" i="3" s="1"/>
  <c r="H27" i="3"/>
  <c r="I27" i="3"/>
  <c r="L47" i="3" s="1"/>
  <c r="L48" i="3" s="1"/>
  <c r="L49" i="3" s="1"/>
  <c r="J13" i="3"/>
  <c r="J27" i="3" s="1"/>
  <c r="K28" i="3" l="1"/>
  <c r="K50" i="3"/>
  <c r="J28" i="3"/>
  <c r="J50" i="3"/>
  <c r="I28" i="3"/>
  <c r="I50" i="3"/>
  <c r="H28" i="3"/>
  <c r="H50" i="3"/>
  <c r="S5" i="3"/>
  <c r="R5" i="3"/>
  <c r="G50" i="3"/>
  <c r="F50" i="3"/>
  <c r="AA5" i="3" l="1"/>
  <c r="Z5" i="3"/>
  <c r="Y5" i="3"/>
  <c r="X5" i="3"/>
  <c r="V5" i="3"/>
  <c r="W5" i="3"/>
  <c r="U5" i="3"/>
  <c r="T5" i="3"/>
  <c r="Q5" i="3"/>
  <c r="P5" i="3"/>
  <c r="F8" i="2"/>
  <c r="M8" i="2" s="1"/>
  <c r="L12" i="2"/>
  <c r="L6" i="2"/>
  <c r="L5" i="2"/>
  <c r="K12" i="2"/>
  <c r="K11" i="2"/>
  <c r="K6" i="2"/>
  <c r="K5" i="2"/>
  <c r="J12" i="2"/>
  <c r="J11" i="2"/>
  <c r="J6" i="2"/>
  <c r="J5" i="2"/>
  <c r="I12" i="2"/>
  <c r="I11" i="2"/>
  <c r="I6" i="2"/>
  <c r="I5" i="2"/>
  <c r="H14" i="2"/>
  <c r="H11" i="2"/>
  <c r="H6" i="2"/>
  <c r="H5" i="2"/>
  <c r="G13" i="2"/>
  <c r="G11" i="2"/>
  <c r="G6" i="2"/>
  <c r="G5" i="2"/>
  <c r="F11" i="2" l="1"/>
  <c r="F10" i="2"/>
  <c r="M10" i="2" s="1"/>
  <c r="F9" i="2"/>
  <c r="M9" i="2" s="1"/>
  <c r="F3" i="2"/>
  <c r="M3" i="2" s="1"/>
  <c r="F7" i="2"/>
  <c r="F6" i="2"/>
  <c r="F5" i="2"/>
  <c r="G3" i="2" l="1"/>
  <c r="I3" i="2"/>
  <c r="K3" i="2"/>
  <c r="L3" i="2"/>
  <c r="J3" i="2"/>
  <c r="H3" i="2"/>
  <c r="L9" i="2"/>
  <c r="H9" i="2"/>
  <c r="K9" i="2"/>
  <c r="G9" i="2"/>
  <c r="I9" i="2"/>
  <c r="J9" i="2"/>
  <c r="I8" i="2"/>
  <c r="G8" i="2"/>
  <c r="J8" i="2"/>
  <c r="L8" i="2"/>
  <c r="H8" i="2"/>
  <c r="K8" i="2"/>
  <c r="L10" i="2"/>
  <c r="H10" i="2"/>
  <c r="I10" i="2"/>
  <c r="K10" i="2"/>
  <c r="G10" i="2"/>
  <c r="J10" i="2"/>
  <c r="I7" i="2"/>
  <c r="L7" i="2"/>
  <c r="H7" i="2"/>
  <c r="J7" i="2"/>
  <c r="K7" i="2"/>
  <c r="G7" i="2"/>
  <c r="F4" i="2"/>
  <c r="M4" i="2" s="1"/>
  <c r="W4" i="2" s="1"/>
  <c r="L45" i="3" l="1"/>
  <c r="L51" i="3" s="1"/>
  <c r="W5" i="2"/>
  <c r="G4" i="2"/>
  <c r="Q4" i="2" s="1"/>
  <c r="K4" i="2"/>
  <c r="U4" i="2" s="1"/>
  <c r="J4" i="2"/>
  <c r="T4" i="2" s="1"/>
  <c r="I4" i="2"/>
  <c r="S4" i="2" s="1"/>
  <c r="L4" i="2"/>
  <c r="H4" i="2"/>
  <c r="R4" i="2" s="1"/>
  <c r="P4" i="2"/>
  <c r="L55" i="3" l="1"/>
  <c r="AC6" i="3"/>
  <c r="AC7" i="3" s="1"/>
  <c r="AB6" i="3"/>
  <c r="AB7" i="3" s="1"/>
  <c r="V4" i="2"/>
  <c r="K45" i="3" s="1"/>
  <c r="K51" i="3" s="1"/>
  <c r="T5" i="2"/>
  <c r="I45" i="3"/>
  <c r="I51" i="3" s="1"/>
  <c r="U5" i="2"/>
  <c r="J45" i="3"/>
  <c r="J51" i="3" s="1"/>
  <c r="P5" i="2"/>
  <c r="E45" i="3"/>
  <c r="E51" i="3" s="1"/>
  <c r="E55" i="3" s="1"/>
  <c r="R5" i="2"/>
  <c r="G45" i="3"/>
  <c r="G51" i="3" s="1"/>
  <c r="S5" i="2"/>
  <c r="H45" i="3"/>
  <c r="H51" i="3" s="1"/>
  <c r="Q5" i="2"/>
  <c r="F45" i="3"/>
  <c r="F51" i="3" s="1"/>
  <c r="F55" i="3" s="1"/>
  <c r="Z6" i="3" l="1"/>
  <c r="Z7" i="3" s="1"/>
  <c r="K55" i="3"/>
  <c r="AA6" i="3"/>
  <c r="AA7" i="3" s="1"/>
  <c r="V5" i="2"/>
  <c r="J55" i="3"/>
  <c r="X6" i="3"/>
  <c r="X7" i="3" s="1"/>
  <c r="Y6" i="3"/>
  <c r="Y7" i="3" s="1"/>
  <c r="I55" i="3"/>
  <c r="W6" i="3"/>
  <c r="W7" i="3" s="1"/>
  <c r="V6" i="3"/>
  <c r="V7" i="3" s="1"/>
  <c r="U6" i="3"/>
  <c r="U7" i="3" s="1"/>
  <c r="T6" i="3"/>
  <c r="T7" i="3" s="1"/>
  <c r="H55" i="3"/>
  <c r="N6" i="3"/>
  <c r="N7" i="3" s="1"/>
  <c r="O6" i="3"/>
  <c r="O7" i="3" s="1"/>
  <c r="S6" i="3"/>
  <c r="S7" i="3" s="1"/>
  <c r="R6" i="3"/>
  <c r="R7" i="3" s="1"/>
  <c r="G55" i="3"/>
  <c r="Q6" i="3"/>
  <c r="Q7" i="3" s="1"/>
  <c r="P6" i="3"/>
  <c r="P7" i="3" s="1"/>
  <c r="U10" i="3" l="1"/>
  <c r="B3" i="4" s="1"/>
  <c r="O8" i="3"/>
  <c r="O10" i="3"/>
  <c r="B9" i="4" s="1"/>
  <c r="P10" i="3"/>
  <c r="B8" i="4" s="1"/>
  <c r="R10" i="3"/>
  <c r="B7" i="4" s="1"/>
  <c r="S10" i="3"/>
  <c r="B4" i="4" s="1"/>
  <c r="T10" i="3"/>
  <c r="B5" i="4" s="1"/>
  <c r="Q10" i="3"/>
  <c r="B6" i="4" s="1"/>
</calcChain>
</file>

<file path=xl/sharedStrings.xml><?xml version="1.0" encoding="utf-8"?>
<sst xmlns="http://schemas.openxmlformats.org/spreadsheetml/2006/main" count="353" uniqueCount="207">
  <si>
    <t>Authors:</t>
  </si>
  <si>
    <t>mickfeke@gmail.com</t>
  </si>
  <si>
    <t>mwolde@kth.se</t>
  </si>
  <si>
    <t>dilip.khatiwada@energy.kth.se</t>
  </si>
  <si>
    <t>Email</t>
  </si>
  <si>
    <t>Micheal G. Wolde</t>
  </si>
  <si>
    <t>Dr. Dilip Khatiwada.</t>
  </si>
  <si>
    <t xml:space="preserve">Institutions </t>
  </si>
  <si>
    <t>Raw Meal</t>
  </si>
  <si>
    <t>Cement additives</t>
  </si>
  <si>
    <t>Electricity</t>
  </si>
  <si>
    <t>Coal</t>
  </si>
  <si>
    <t>Diesel</t>
  </si>
  <si>
    <t>Water</t>
  </si>
  <si>
    <t>Explosives</t>
  </si>
  <si>
    <t xml:space="preserve">Other Materials </t>
  </si>
  <si>
    <t>PJDF Transport</t>
  </si>
  <si>
    <t xml:space="preserve">RDF Transport </t>
  </si>
  <si>
    <t xml:space="preserve">TDF Transport </t>
  </si>
  <si>
    <t>$/t clinker</t>
  </si>
  <si>
    <t>$/t cement</t>
  </si>
  <si>
    <t>$/GJ</t>
  </si>
  <si>
    <t>$/t AF</t>
  </si>
  <si>
    <t>Unit Price</t>
  </si>
  <si>
    <t>Amount</t>
  </si>
  <si>
    <t>Reference case (plant without APS)</t>
  </si>
  <si>
    <t>Scenario A-APS</t>
  </si>
  <si>
    <t>Scenario B-APS</t>
  </si>
  <si>
    <t>Scenario C-APS</t>
  </si>
  <si>
    <t>Scenario D-APS</t>
  </si>
  <si>
    <t>Scenario E-APS</t>
  </si>
  <si>
    <t>Scenario F-APS</t>
  </si>
  <si>
    <t>$/KWh</t>
  </si>
  <si>
    <t>%</t>
  </si>
  <si>
    <t>Reference year</t>
  </si>
  <si>
    <t>-</t>
  </si>
  <si>
    <t>y</t>
  </si>
  <si>
    <t>Discount rate</t>
  </si>
  <si>
    <t>Operation years</t>
  </si>
  <si>
    <t xml:space="preserve">Fossil Fuel Transport </t>
  </si>
  <si>
    <t>Price Reference year</t>
  </si>
  <si>
    <t>Infaltion rate (Average)</t>
  </si>
  <si>
    <t>Total Cost</t>
  </si>
  <si>
    <t>OPEX</t>
  </si>
  <si>
    <t xml:space="preserve">Financial Data </t>
  </si>
  <si>
    <t>Clinker to Cement ratio</t>
  </si>
  <si>
    <t>GJ/t clinker</t>
  </si>
  <si>
    <t>KWh/t clinker</t>
  </si>
  <si>
    <t>Operation hours (RDF/PJDF/TDF plants)</t>
  </si>
  <si>
    <t>Capacity_factor (Cement plant)</t>
  </si>
  <si>
    <t>hours</t>
  </si>
  <si>
    <t>% of capital cost</t>
  </si>
  <si>
    <t>$/person/year</t>
  </si>
  <si>
    <t>labor Cost for cement plant site</t>
  </si>
  <si>
    <t>Maintenance cost for the cement plant site</t>
  </si>
  <si>
    <t>Administrative labor cost for the cement plant site</t>
  </si>
  <si>
    <t>% of the total manufacturing cost</t>
  </si>
  <si>
    <t>% of the total operational labor cost</t>
  </si>
  <si>
    <t>Additional operational and maintenance cost (O&amp;M) for energy efficiency and environmental protection equipment retrofits at the cement plant site (EEMs and SNCR/wet scrubber)</t>
  </si>
  <si>
    <t xml:space="preserve">OPEX for RDF/PJDF/TDF production </t>
  </si>
  <si>
    <t xml:space="preserve">Additional Information </t>
  </si>
  <si>
    <t>No of permanent workers (cement plant site)</t>
  </si>
  <si>
    <t>Value is given in next sheets</t>
  </si>
  <si>
    <t>Additional no of permanent workers required for operating AF equipment  retrofits at the cement plant site (cement plant upgrades)</t>
  </si>
  <si>
    <t>RDF</t>
  </si>
  <si>
    <t>PJDF</t>
  </si>
  <si>
    <t>TDF</t>
  </si>
  <si>
    <t>OPEX part</t>
  </si>
  <si>
    <t>Electricity (reference Cement plant)</t>
  </si>
  <si>
    <t>Electricity ( Scenario A-APS)</t>
  </si>
  <si>
    <t>Electricity (Scenario B-APS)</t>
  </si>
  <si>
    <t>Electricity (Scenario C-APS)</t>
  </si>
  <si>
    <t>Electricity (Scenario D-APS)</t>
  </si>
  <si>
    <t>Electricity (Scenario E-APS)</t>
  </si>
  <si>
    <t>Electricity (Scenario F-APS)</t>
  </si>
  <si>
    <t>Coal (reference Cement plant)</t>
  </si>
  <si>
    <t>Coal  (Scenario A-APS)</t>
  </si>
  <si>
    <t>Coal (Scenario B-APS)</t>
  </si>
  <si>
    <t>Coal (Scenario C-APS)</t>
  </si>
  <si>
    <t>Coal (Scenario D-APS)</t>
  </si>
  <si>
    <t>Coal  (Scenario E-APS)</t>
  </si>
  <si>
    <t xml:space="preserve">Remark </t>
  </si>
  <si>
    <t xml:space="preserve"> </t>
  </si>
  <si>
    <t>Parameter (data)</t>
  </si>
  <si>
    <t>RDF required 37.45kg/t clinker</t>
  </si>
  <si>
    <t>RDF required 18.67kg/t clinker</t>
  </si>
  <si>
    <t>PJDF_Charcoal required 21.67kg/t clinker</t>
  </si>
  <si>
    <t>PJDF_Wood pellet required 45.1kg/t clinker</t>
  </si>
  <si>
    <t>Values are determined based on the consumption change (reduction in %) from the reference case.</t>
  </si>
  <si>
    <t>Blended AF required 66kg/t clinker</t>
  </si>
  <si>
    <t>Blended AF required 105.95kg/t clinker</t>
  </si>
  <si>
    <t xml:space="preserve">Utilities, Consumables, Transport </t>
  </si>
  <si>
    <t>Calculate the cost of clinker/Cement</t>
  </si>
  <si>
    <t>Clinker Production</t>
  </si>
  <si>
    <t>Plant Data</t>
  </si>
  <si>
    <t>t clinker/day</t>
  </si>
  <si>
    <t>Clinker production</t>
  </si>
  <si>
    <t>Cement production</t>
  </si>
  <si>
    <t xml:space="preserve">CO2-eq emissions </t>
  </si>
  <si>
    <t>CAPEX and OPEX</t>
  </si>
  <si>
    <t>CAPEX</t>
  </si>
  <si>
    <r>
      <t>Million USD</t>
    </r>
    <r>
      <rPr>
        <sz val="8"/>
        <color theme="1"/>
        <rFont val="Calibri"/>
        <family val="2"/>
        <scheme val="minor"/>
      </rPr>
      <t>2020</t>
    </r>
  </si>
  <si>
    <t>RDF plant</t>
  </si>
  <si>
    <t>Capacity (Scaled 2020/base year)</t>
  </si>
  <si>
    <t>K (exponent)</t>
  </si>
  <si>
    <t>Cost Index (2020/base year)</t>
  </si>
  <si>
    <t>Infaltion rate (Average %)</t>
  </si>
  <si>
    <t>TDF plant</t>
  </si>
  <si>
    <t xml:space="preserve">PJDF </t>
  </si>
  <si>
    <t>RDF plant only</t>
  </si>
  <si>
    <t>TDF plant only</t>
  </si>
  <si>
    <t>PJDF (Cost includes PJDF production site and cement plant site equipment/process)</t>
  </si>
  <si>
    <t>Typical cement plant upgrades/retrofits required for AFs use (in particular RDF and TDF)</t>
  </si>
  <si>
    <t>Typical cement plant upgrades/retrofits required for AFs use</t>
  </si>
  <si>
    <t>Kiln combustion system improvements in rotary kilns (Oxygen enrichment Technology)</t>
  </si>
  <si>
    <t>Kiln combustion system improvements in rotary kilns (Oxygen enrichment Technology and Multi-channel kiln burner)</t>
  </si>
  <si>
    <t xml:space="preserve">Energy management and process control systems for clinker-making </t>
  </si>
  <si>
    <t>High-efficiency fans for cement mill</t>
  </si>
  <si>
    <t xml:space="preserve">Roller mills for fuel preparation </t>
  </si>
  <si>
    <t xml:space="preserve">High Efficiency motors and drives </t>
  </si>
  <si>
    <t xml:space="preserve">Adjustable or variable speed drives </t>
  </si>
  <si>
    <t xml:space="preserve">Optimizing the operation of cement mill </t>
  </si>
  <si>
    <t>Improved grinding media (for ball mills)</t>
  </si>
  <si>
    <t>Waste Heat Recovery Power Plant (WHRP)</t>
  </si>
  <si>
    <t xml:space="preserve">SNCR (Selective Non-Catalytic Reduction) for NOx emissions abatement </t>
  </si>
  <si>
    <t>From 2000 to 2020</t>
  </si>
  <si>
    <t>2000 to 2020 inflation</t>
  </si>
  <si>
    <t xml:space="preserve">Wet Scrubber for SOx emissions abatement </t>
  </si>
  <si>
    <t>Total CAPEX</t>
  </si>
  <si>
    <t>Kiln combustion system improvements in rotary kilns (Oxygen enrichment Technology)_Change in OPEX</t>
  </si>
  <si>
    <t xml:space="preserve">Energy management and process control systems for clinker-making_Change in OPEX </t>
  </si>
  <si>
    <t>High-efficiency fans for cement mill_Change in OPEX</t>
  </si>
  <si>
    <t xml:space="preserve">Roller mills for fuel preparation_Change in OPEX </t>
  </si>
  <si>
    <t xml:space="preserve">High Efficiency motors and drives_Change in OPEX </t>
  </si>
  <si>
    <t xml:space="preserve">Adjustable or variable speed drives_Change in OPEX </t>
  </si>
  <si>
    <t xml:space="preserve">Optimizing the operation of cement mill_Change in OPEX </t>
  </si>
  <si>
    <t>Improved grinding media (for ball mills)_Change in OPEX</t>
  </si>
  <si>
    <t xml:space="preserve">SNCR (Selective Non-Catalytic Reduction) for NOx emissions abatemen_Change in OPEX </t>
  </si>
  <si>
    <t xml:space="preserve">Wet Scrubber for SOx emissions abatement_Change in OPEX </t>
  </si>
  <si>
    <t>Annualized CAPEX</t>
  </si>
  <si>
    <t>Total Opex</t>
  </si>
  <si>
    <r>
      <t>Million USD</t>
    </r>
    <r>
      <rPr>
        <sz val="8"/>
        <color theme="1"/>
        <rFont val="Calibri"/>
        <family val="2"/>
        <scheme val="minor"/>
      </rPr>
      <t>2021</t>
    </r>
    <r>
      <rPr>
        <sz val="11"/>
        <color theme="1"/>
        <rFont val="Calibri"/>
        <family val="2"/>
        <scheme val="minor"/>
      </rPr>
      <t/>
    </r>
  </si>
  <si>
    <r>
      <t>Million USD</t>
    </r>
    <r>
      <rPr>
        <sz val="8"/>
        <color theme="1"/>
        <rFont val="Calibri"/>
        <family val="2"/>
        <scheme val="minor"/>
      </rPr>
      <t>2020</t>
    </r>
    <r>
      <rPr>
        <sz val="11"/>
        <color theme="1"/>
        <rFont val="Calibri"/>
        <family val="2"/>
        <scheme val="minor"/>
      </rPr>
      <t/>
    </r>
  </si>
  <si>
    <r>
      <t>Million USD</t>
    </r>
    <r>
      <rPr>
        <sz val="8"/>
        <color theme="1"/>
        <rFont val="Calibri"/>
        <family val="2"/>
        <scheme val="minor"/>
      </rPr>
      <t>2020/year</t>
    </r>
  </si>
  <si>
    <t>Cost Breakdown</t>
  </si>
  <si>
    <t>Total OPEX</t>
  </si>
  <si>
    <t>Clinker          ($/t clinker)</t>
  </si>
  <si>
    <t>Cement           ($/t cement</t>
  </si>
  <si>
    <t>Product (cost)</t>
  </si>
  <si>
    <t>Total Cost of Clinker/Cement</t>
  </si>
  <si>
    <t>CO2-eq emissions abated/avoided</t>
  </si>
  <si>
    <t>Marginal Abatement Cost of CO2eq- Emissions    ($/t CO2-eq)</t>
  </si>
  <si>
    <t>Cement to clinker ratio</t>
  </si>
  <si>
    <t>t cement/t clinker</t>
  </si>
  <si>
    <t>Kg CO2-eq/t cement</t>
  </si>
  <si>
    <t>Kiln combustion system improvements in rotary kilns (Multi-channel kiln burner)</t>
  </si>
  <si>
    <t>Unforeseen cost related to capital (project contingency)</t>
  </si>
  <si>
    <t>Cement plant only (existing)</t>
  </si>
  <si>
    <t>Operation Years</t>
  </si>
  <si>
    <t>of the CPAEX</t>
  </si>
  <si>
    <t xml:space="preserve">Carbon tax </t>
  </si>
  <si>
    <r>
      <t>Million USD</t>
    </r>
    <r>
      <rPr>
        <sz val="8"/>
        <color theme="1"/>
        <rFont val="Calibri"/>
        <family val="2"/>
        <scheme val="minor"/>
      </rPr>
      <t>2020/Year</t>
    </r>
  </si>
  <si>
    <r>
      <t>Million USD</t>
    </r>
    <r>
      <rPr>
        <b/>
        <sz val="8"/>
        <color theme="1"/>
        <rFont val="Calibri"/>
        <family val="2"/>
        <scheme val="minor"/>
      </rPr>
      <t>2020/Year</t>
    </r>
  </si>
  <si>
    <t>Total_utilities_consumables_transport</t>
  </si>
  <si>
    <t>Maintenance cost for the cement plant only_2.5% of the capital cost</t>
  </si>
  <si>
    <t xml:space="preserve">Operating labor Cost </t>
  </si>
  <si>
    <t>Administrative and support labor cost for the cement plant only_30% of the total operational and maintenance labor cost</t>
  </si>
  <si>
    <t>Maintenance labour cost for the cement plant only_40% of the maintenance cost</t>
  </si>
  <si>
    <t xml:space="preserve">Local Tax and insurance_2% of the capital cost </t>
  </si>
  <si>
    <t xml:space="preserve">local tax and Insurance </t>
  </si>
  <si>
    <t>t</t>
  </si>
  <si>
    <t>100Kg</t>
  </si>
  <si>
    <t xml:space="preserve">Total sale in bag </t>
  </si>
  <si>
    <t>Estimated profit</t>
  </si>
  <si>
    <t>Profit analysis</t>
  </si>
  <si>
    <t xml:space="preserve">Total yearly cement production </t>
  </si>
  <si>
    <t>t cement/day</t>
  </si>
  <si>
    <t>Cement ($/t cement</t>
  </si>
  <si>
    <t>Clinker ($/t clinker)</t>
  </si>
  <si>
    <t>Total Amount of CO2-eq Emsissions (t CO2-eq,  2020)</t>
  </si>
  <si>
    <t>Total Amount of CO2-eq Emsissions (t CO2-eq,  from 2020 to 2030)</t>
  </si>
  <si>
    <r>
      <t>USD</t>
    </r>
    <r>
      <rPr>
        <sz val="8"/>
        <color theme="1"/>
        <rFont val="Calibri"/>
        <family val="2"/>
        <scheme val="minor"/>
      </rPr>
      <t>2020</t>
    </r>
  </si>
  <si>
    <t>Scenarios</t>
  </si>
  <si>
    <t>$/t CO2-eq</t>
  </si>
  <si>
    <t>MACC</t>
  </si>
  <si>
    <t>Total Amount of CO2-eq Emsissions abated/avoided (million t CO2-eq,  2020)</t>
  </si>
  <si>
    <t>N/A</t>
  </si>
  <si>
    <t>Contribution in % (reduction) to Ethiopia's climate plan (target reduction - 9.2 million t of CO2-eq by 2030</t>
  </si>
  <si>
    <t>Change/decrease</t>
  </si>
  <si>
    <t>Waste Heat Recovery Power Plant (WHRP)_USD 0.007/t of clinker</t>
  </si>
  <si>
    <t>Total Amount of CO2-eq Emsissions (t CO2-eq,  from 2020 to 2030) for APS</t>
  </si>
  <si>
    <t>Scenario Ideal</t>
  </si>
  <si>
    <t>Electricity (Scenario Ideal)</t>
  </si>
  <si>
    <t>Coal (Scenario F-APS)</t>
  </si>
  <si>
    <t>Coal (Sceanrio Ideal-APS)</t>
  </si>
  <si>
    <t>PJDF_Charcoal required 108.34kg/t clinker</t>
  </si>
  <si>
    <t>Clinker   ($/t clinker)</t>
  </si>
  <si>
    <t>Scenario Ideal-APS</t>
  </si>
  <si>
    <t>Total Amount of CO2-eq Emsissions abated/avoided (mt CO2-eq,  from 2020 to 2030)</t>
  </si>
  <si>
    <t>Total Amount of CO2-eq Emsissions abated/avoided (mt CO2-eq,  2020)</t>
  </si>
  <si>
    <t>Spreadsheet for the economic analysis of APSs: Ethiopia's Moderate Cement Plant category.</t>
  </si>
  <si>
    <t>1 usd</t>
  </si>
  <si>
    <t>Exchange rate in 2020 (USD to Ethiopian Birr)</t>
  </si>
  <si>
    <t>To gain profit the minimum  Cement Factory selling price per 100Kg or bag  (2020)  should be (considering carbon tax at  USD 100)</t>
  </si>
  <si>
    <t>593.98ETB</t>
  </si>
  <si>
    <r>
      <t>Million USD</t>
    </r>
    <r>
      <rPr>
        <b/>
        <sz val="8"/>
        <color theme="1"/>
        <rFont val="Calibri"/>
        <family val="2"/>
        <scheme val="minor"/>
      </rPr>
      <t>2020/year</t>
    </r>
  </si>
  <si>
    <t>Includes direct emissions (kiln_Calcination and Fuel Burning) and Indirect emissions (Electricity, transport, fossil fuel production).                                                                                                              Note: weighted average values considered, calculated based on the production volume of cement products (PPC and OPC)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</si>
</sst>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$-409]* #,##0.00_ ;_-[$$-409]* \-#,##0.00\ ;_-[$$-409]* &quot;-&quot;??_ ;_-@_ "/>
    <numFmt numFmtId="165" formatCode="0.0000"/>
    <numFmt numFmtId="166" formatCode="0.000E+00"/>
    <numFmt numFmtId="167" formatCode="0.000000000"/>
    <numFmt numFmtId="168" formatCode="_([$$-409]* #,##0.00_);_([$$-409]* \(#,##0.00\);_([$$-409]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6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7" fillId="8" borderId="0" xfId="0" applyFont="1" applyFill="1"/>
    <xf numFmtId="0" fontId="0" fillId="8" borderId="0" xfId="0" applyFill="1"/>
    <xf numFmtId="0" fontId="9" fillId="0" borderId="2" xfId="0" applyFont="1" applyBorder="1"/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12" fillId="0" borderId="9" xfId="4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3" xfId="0" applyBorder="1"/>
    <xf numFmtId="2" fontId="0" fillId="0" borderId="9" xfId="0" applyNumberFormat="1" applyBorder="1"/>
    <xf numFmtId="0" fontId="0" fillId="0" borderId="17" xfId="0" applyBorder="1"/>
    <xf numFmtId="0" fontId="0" fillId="0" borderId="0" xfId="0" applyAlignment="1">
      <alignment horizontal="center" vertical="center"/>
    </xf>
    <xf numFmtId="0" fontId="0" fillId="14" borderId="0" xfId="0" applyFill="1"/>
    <xf numFmtId="0" fontId="4" fillId="4" borderId="9" xfId="3" applyBorder="1" applyAlignment="1" applyProtection="1">
      <protection locked="0"/>
    </xf>
    <xf numFmtId="0" fontId="0" fillId="0" borderId="9" xfId="0" applyBorder="1" applyAlignment="1">
      <alignment wrapText="1"/>
    </xf>
    <xf numFmtId="0" fontId="0" fillId="0" borderId="15" xfId="0" applyBorder="1"/>
    <xf numFmtId="0" fontId="0" fillId="0" borderId="15" xfId="0" applyBorder="1" applyAlignment="1">
      <alignment wrapText="1"/>
    </xf>
    <xf numFmtId="0" fontId="17" fillId="16" borderId="2" xfId="0" applyFont="1" applyFill="1" applyBorder="1" applyAlignment="1">
      <alignment horizontal="center"/>
    </xf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6" fillId="10" borderId="21" xfId="0" applyFont="1" applyFill="1" applyBorder="1" applyAlignment="1">
      <alignment vertical="center" wrapText="1"/>
    </xf>
    <xf numFmtId="0" fontId="13" fillId="6" borderId="29" xfId="0" applyFont="1" applyFill="1" applyBorder="1" applyAlignment="1">
      <alignment vertical="center" wrapText="1"/>
    </xf>
    <xf numFmtId="0" fontId="13" fillId="6" borderId="29" xfId="0" applyFont="1" applyFill="1" applyBorder="1" applyAlignment="1">
      <alignment horizontal="left" vertical="center" wrapText="1"/>
    </xf>
    <xf numFmtId="0" fontId="13" fillId="6" borderId="30" xfId="0" applyFont="1" applyFill="1" applyBorder="1" applyAlignment="1">
      <alignment vertical="center" wrapText="1"/>
    </xf>
    <xf numFmtId="0" fontId="0" fillId="0" borderId="12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6" fillId="12" borderId="27" xfId="0" applyFont="1" applyFill="1" applyBorder="1"/>
    <xf numFmtId="0" fontId="14" fillId="7" borderId="31" xfId="0" applyFont="1" applyFill="1" applyBorder="1" applyAlignment="1">
      <alignment horizontal="left" vertical="center" wrapText="1"/>
    </xf>
    <xf numFmtId="0" fontId="14" fillId="7" borderId="33" xfId="0" applyFont="1" applyFill="1" applyBorder="1" applyAlignment="1">
      <alignment horizontal="left" vertical="center" wrapText="1"/>
    </xf>
    <xf numFmtId="0" fontId="2" fillId="2" borderId="24" xfId="1" applyBorder="1" applyAlignment="1">
      <alignment wrapText="1"/>
    </xf>
    <xf numFmtId="0" fontId="2" fillId="2" borderId="24" xfId="1" applyBorder="1" applyAlignment="1">
      <alignment vertical="center" wrapText="1"/>
    </xf>
    <xf numFmtId="0" fontId="2" fillId="2" borderId="26" xfId="1" applyBorder="1" applyAlignment="1">
      <alignment vertical="center" wrapText="1"/>
    </xf>
    <xf numFmtId="0" fontId="4" fillId="4" borderId="27" xfId="3" applyBorder="1" applyAlignment="1" applyProtection="1">
      <protection locked="0"/>
    </xf>
    <xf numFmtId="0" fontId="19" fillId="17" borderId="30" xfId="0" applyFont="1" applyFill="1" applyBorder="1" applyAlignment="1">
      <alignment horizontal="left" vertical="center" wrapText="1"/>
    </xf>
    <xf numFmtId="0" fontId="10" fillId="17" borderId="15" xfId="0" applyFont="1" applyFill="1" applyBorder="1"/>
    <xf numFmtId="0" fontId="6" fillId="12" borderId="47" xfId="0" applyFont="1" applyFill="1" applyBorder="1"/>
    <xf numFmtId="0" fontId="13" fillId="7" borderId="31" xfId="0" applyFont="1" applyFill="1" applyBorder="1" applyAlignment="1">
      <alignment horizontal="left" vertical="center" wrapText="1"/>
    </xf>
    <xf numFmtId="0" fontId="6" fillId="7" borderId="33" xfId="0" applyFont="1" applyFill="1" applyBorder="1" applyAlignment="1">
      <alignment vertical="center" wrapText="1"/>
    </xf>
    <xf numFmtId="0" fontId="6" fillId="7" borderId="21" xfId="0" applyFont="1" applyFill="1" applyBorder="1" applyAlignment="1">
      <alignment vertical="center" wrapText="1"/>
    </xf>
    <xf numFmtId="0" fontId="13" fillId="6" borderId="33" xfId="0" applyFont="1" applyFill="1" applyBorder="1" applyAlignment="1">
      <alignment vertical="center" wrapText="1"/>
    </xf>
    <xf numFmtId="0" fontId="13" fillId="6" borderId="33" xfId="0" applyFont="1" applyFill="1" applyBorder="1" applyAlignment="1">
      <alignment horizontal="left" vertical="center" wrapText="1"/>
    </xf>
    <xf numFmtId="0" fontId="13" fillId="6" borderId="34" xfId="0" applyFont="1" applyFill="1" applyBorder="1" applyAlignment="1">
      <alignment vertical="center" wrapText="1"/>
    </xf>
    <xf numFmtId="0" fontId="0" fillId="0" borderId="24" xfId="0" applyBorder="1"/>
    <xf numFmtId="2" fontId="0" fillId="0" borderId="25" xfId="0" applyNumberFormat="1" applyBorder="1"/>
    <xf numFmtId="0" fontId="0" fillId="0" borderId="26" xfId="0" applyBorder="1"/>
    <xf numFmtId="0" fontId="16" fillId="0" borderId="10" xfId="0" applyFont="1" applyBorder="1"/>
    <xf numFmtId="0" fontId="0" fillId="11" borderId="34" xfId="0" applyFill="1" applyBorder="1"/>
    <xf numFmtId="0" fontId="0" fillId="11" borderId="25" xfId="0" applyFill="1" applyBorder="1"/>
    <xf numFmtId="0" fontId="0" fillId="11" borderId="25" xfId="0" applyFill="1" applyBorder="1" applyAlignment="1">
      <alignment vertical="center" wrapText="1"/>
    </xf>
    <xf numFmtId="0" fontId="2" fillId="2" borderId="34" xfId="1" applyBorder="1" applyAlignment="1">
      <alignment horizontal="center"/>
    </xf>
    <xf numFmtId="0" fontId="2" fillId="2" borderId="25" xfId="1" applyBorder="1" applyAlignment="1">
      <alignment horizontal="center"/>
    </xf>
    <xf numFmtId="0" fontId="2" fillId="2" borderId="49" xfId="1" applyBorder="1"/>
    <xf numFmtId="0" fontId="2" fillId="2" borderId="50" xfId="1" applyBorder="1" applyAlignment="1">
      <alignment horizontal="center"/>
    </xf>
    <xf numFmtId="0" fontId="2" fillId="2" borderId="31" xfId="1" applyBorder="1" applyAlignment="1">
      <alignment wrapText="1"/>
    </xf>
    <xf numFmtId="0" fontId="2" fillId="2" borderId="26" xfId="1" applyBorder="1"/>
    <xf numFmtId="0" fontId="2" fillId="2" borderId="28" xfId="1" applyBorder="1" applyAlignment="1">
      <alignment horizontal="center"/>
    </xf>
    <xf numFmtId="0" fontId="0" fillId="0" borderId="53" xfId="0" applyBorder="1"/>
    <xf numFmtId="0" fontId="6" fillId="18" borderId="26" xfId="0" applyFont="1" applyFill="1" applyBorder="1"/>
    <xf numFmtId="0" fontId="6" fillId="0" borderId="26" xfId="0" applyFont="1" applyBorder="1" applyAlignment="1">
      <alignment wrapText="1"/>
    </xf>
    <xf numFmtId="0" fontId="6" fillId="0" borderId="52" xfId="0" applyFont="1" applyBorder="1" applyAlignment="1">
      <alignment wrapText="1"/>
    </xf>
    <xf numFmtId="0" fontId="13" fillId="6" borderId="23" xfId="0" applyFont="1" applyFill="1" applyBorder="1" applyAlignment="1">
      <alignment vertical="center" wrapText="1"/>
    </xf>
    <xf numFmtId="0" fontId="6" fillId="10" borderId="20" xfId="0" applyFont="1" applyFill="1" applyBorder="1" applyAlignment="1">
      <alignment vertical="center" wrapText="1"/>
    </xf>
    <xf numFmtId="0" fontId="6" fillId="0" borderId="0" xfId="0" applyFont="1" applyAlignment="1">
      <alignment wrapText="1"/>
    </xf>
    <xf numFmtId="0" fontId="6" fillId="0" borderId="36" xfId="0" applyFont="1" applyBorder="1" applyAlignment="1">
      <alignment wrapText="1"/>
    </xf>
    <xf numFmtId="0" fontId="0" fillId="0" borderId="10" xfId="0" applyBorder="1" applyAlignment="1">
      <alignment wrapText="1"/>
    </xf>
    <xf numFmtId="0" fontId="6" fillId="0" borderId="31" xfId="0" applyFont="1" applyBorder="1" applyAlignment="1">
      <alignment wrapText="1"/>
    </xf>
    <xf numFmtId="0" fontId="6" fillId="0" borderId="24" xfId="0" applyFont="1" applyBorder="1" applyAlignment="1">
      <alignment wrapText="1"/>
    </xf>
    <xf numFmtId="0" fontId="2" fillId="2" borderId="31" xfId="1" applyBorder="1" applyAlignment="1">
      <alignment vertical="center" wrapText="1"/>
    </xf>
    <xf numFmtId="9" fontId="4" fillId="4" borderId="9" xfId="5" applyFont="1" applyFill="1" applyBorder="1" applyAlignment="1" applyProtection="1">
      <protection locked="0"/>
    </xf>
    <xf numFmtId="9" fontId="4" fillId="4" borderId="33" xfId="5" applyFont="1" applyFill="1" applyBorder="1" applyAlignment="1" applyProtection="1">
      <protection locked="0"/>
    </xf>
    <xf numFmtId="0" fontId="10" fillId="7" borderId="0" xfId="0" applyFont="1" applyFill="1"/>
    <xf numFmtId="164" fontId="6" fillId="0" borderId="9" xfId="0" applyNumberFormat="1" applyFont="1" applyBorder="1"/>
    <xf numFmtId="0" fontId="0" fillId="11" borderId="9" xfId="0" applyFill="1" applyBorder="1"/>
    <xf numFmtId="0" fontId="2" fillId="2" borderId="30" xfId="1" applyBorder="1" applyAlignment="1">
      <alignment horizontal="center"/>
    </xf>
    <xf numFmtId="0" fontId="14" fillId="7" borderId="56" xfId="0" applyFont="1" applyFill="1" applyBorder="1" applyAlignment="1">
      <alignment horizontal="left" vertical="center" wrapText="1"/>
    </xf>
    <xf numFmtId="0" fontId="0" fillId="0" borderId="21" xfId="0" applyBorder="1"/>
    <xf numFmtId="0" fontId="0" fillId="0" borderId="3" xfId="0" applyBorder="1"/>
    <xf numFmtId="0" fontId="2" fillId="2" borderId="57" xfId="1" applyBorder="1" applyAlignment="1">
      <alignment horizontal="center"/>
    </xf>
    <xf numFmtId="0" fontId="2" fillId="2" borderId="58" xfId="1" applyBorder="1" applyAlignment="1">
      <alignment horizontal="center"/>
    </xf>
    <xf numFmtId="0" fontId="2" fillId="2" borderId="58" xfId="1" applyBorder="1" applyAlignment="1">
      <alignment horizontal="center" wrapText="1"/>
    </xf>
    <xf numFmtId="0" fontId="2" fillId="2" borderId="59" xfId="1" applyBorder="1" applyAlignment="1">
      <alignment horizontal="center" wrapText="1"/>
    </xf>
    <xf numFmtId="0" fontId="0" fillId="11" borderId="44" xfId="0" applyFill="1" applyBorder="1"/>
    <xf numFmtId="0" fontId="0" fillId="11" borderId="45" xfId="0" applyFill="1" applyBorder="1"/>
    <xf numFmtId="0" fontId="0" fillId="11" borderId="46" xfId="0" applyFill="1" applyBorder="1"/>
    <xf numFmtId="0" fontId="0" fillId="11" borderId="0" xfId="0" applyFill="1"/>
    <xf numFmtId="0" fontId="2" fillId="2" borderId="32" xfId="1" applyBorder="1" applyAlignment="1">
      <alignment horizontal="center"/>
    </xf>
    <xf numFmtId="0" fontId="2" fillId="2" borderId="15" xfId="1" applyBorder="1" applyAlignment="1">
      <alignment horizontal="center"/>
    </xf>
    <xf numFmtId="0" fontId="0" fillId="11" borderId="33" xfId="0" applyFill="1" applyBorder="1"/>
    <xf numFmtId="164" fontId="6" fillId="12" borderId="27" xfId="0" applyNumberFormat="1" applyFont="1" applyFill="1" applyBorder="1"/>
    <xf numFmtId="164" fontId="6" fillId="7" borderId="27" xfId="0" applyNumberFormat="1" applyFont="1" applyFill="1" applyBorder="1"/>
    <xf numFmtId="0" fontId="0" fillId="19" borderId="9" xfId="0" applyFill="1" applyBorder="1"/>
    <xf numFmtId="2" fontId="0" fillId="0" borderId="33" xfId="0" applyNumberFormat="1" applyBorder="1"/>
    <xf numFmtId="2" fontId="0" fillId="0" borderId="34" xfId="0" applyNumberFormat="1" applyBorder="1"/>
    <xf numFmtId="0" fontId="0" fillId="0" borderId="31" xfId="0" applyBorder="1"/>
    <xf numFmtId="2" fontId="0" fillId="18" borderId="27" xfId="0" applyNumberFormat="1" applyFill="1" applyBorder="1"/>
    <xf numFmtId="2" fontId="0" fillId="0" borderId="10" xfId="0" applyNumberFormat="1" applyBorder="1"/>
    <xf numFmtId="0" fontId="6" fillId="19" borderId="0" xfId="0" applyFont="1" applyFill="1" applyAlignment="1">
      <alignment wrapText="1"/>
    </xf>
    <xf numFmtId="9" fontId="6" fillId="21" borderId="9" xfId="5" applyFont="1" applyFill="1" applyBorder="1" applyAlignment="1"/>
    <xf numFmtId="11" fontId="0" fillId="0" borderId="10" xfId="0" applyNumberFormat="1" applyBorder="1"/>
    <xf numFmtId="11" fontId="0" fillId="0" borderId="53" xfId="0" applyNumberFormat="1" applyBorder="1"/>
    <xf numFmtId="11" fontId="0" fillId="0" borderId="13" xfId="0" applyNumberFormat="1" applyBorder="1"/>
    <xf numFmtId="0" fontId="6" fillId="0" borderId="51" xfId="0" applyFont="1" applyBorder="1" applyAlignment="1">
      <alignment wrapText="1"/>
    </xf>
    <xf numFmtId="0" fontId="0" fillId="0" borderId="10" xfId="0" applyBorder="1"/>
    <xf numFmtId="9" fontId="0" fillId="0" borderId="10" xfId="5" applyFont="1" applyBorder="1"/>
    <xf numFmtId="9" fontId="15" fillId="21" borderId="9" xfId="5" applyFont="1" applyFill="1" applyBorder="1"/>
    <xf numFmtId="11" fontId="15" fillId="0" borderId="9" xfId="0" applyNumberFormat="1" applyFont="1" applyBorder="1"/>
    <xf numFmtId="9" fontId="15" fillId="0" borderId="9" xfId="5" applyFont="1" applyBorder="1"/>
    <xf numFmtId="0" fontId="0" fillId="11" borderId="43" xfId="0" applyFill="1" applyBorder="1"/>
    <xf numFmtId="0" fontId="2" fillId="2" borderId="14" xfId="1" applyBorder="1" applyAlignment="1">
      <alignment horizontal="center"/>
    </xf>
    <xf numFmtId="0" fontId="2" fillId="2" borderId="35" xfId="1" applyBorder="1" applyAlignment="1">
      <alignment horizontal="center"/>
    </xf>
    <xf numFmtId="0" fontId="0" fillId="11" borderId="37" xfId="0" applyFill="1" applyBorder="1" applyAlignment="1">
      <alignment vertical="center" wrapText="1"/>
    </xf>
    <xf numFmtId="2" fontId="0" fillId="0" borderId="13" xfId="0" applyNumberFormat="1" applyBorder="1"/>
    <xf numFmtId="2" fontId="0" fillId="0" borderId="36" xfId="0" applyNumberFormat="1" applyBorder="1"/>
    <xf numFmtId="0" fontId="0" fillId="0" borderId="11" xfId="0" applyBorder="1"/>
    <xf numFmtId="0" fontId="6" fillId="10" borderId="12" xfId="0" applyFont="1" applyFill="1" applyBorder="1" applyAlignment="1">
      <alignment vertical="center" wrapText="1"/>
    </xf>
    <xf numFmtId="0" fontId="13" fillId="6" borderId="12" xfId="0" applyFont="1" applyFill="1" applyBorder="1" applyAlignment="1">
      <alignment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13" fillId="6" borderId="61" xfId="0" applyFont="1" applyFill="1" applyBorder="1" applyAlignment="1">
      <alignment vertical="center" wrapText="1"/>
    </xf>
    <xf numFmtId="0" fontId="13" fillId="6" borderId="52" xfId="0" applyFont="1" applyFill="1" applyBorder="1" applyAlignment="1">
      <alignment vertical="center" wrapText="1"/>
    </xf>
    <xf numFmtId="2" fontId="0" fillId="18" borderId="53" xfId="0" applyNumberFormat="1" applyFill="1" applyBorder="1"/>
    <xf numFmtId="11" fontId="0" fillId="0" borderId="11" xfId="0" applyNumberFormat="1" applyBorder="1"/>
    <xf numFmtId="0" fontId="6" fillId="0" borderId="9" xfId="0" applyFont="1" applyBorder="1" applyAlignment="1">
      <alignment wrapText="1"/>
    </xf>
    <xf numFmtId="0" fontId="13" fillId="6" borderId="9" xfId="0" applyFont="1" applyFill="1" applyBorder="1" applyAlignment="1">
      <alignment vertical="center" wrapText="1"/>
    </xf>
    <xf numFmtId="165" fontId="0" fillId="0" borderId="9" xfId="0" applyNumberFormat="1" applyBorder="1"/>
    <xf numFmtId="0" fontId="13" fillId="6" borderId="9" xfId="0" applyFont="1" applyFill="1" applyBorder="1" applyAlignment="1">
      <alignment horizontal="left" vertical="center" wrapText="1"/>
    </xf>
    <xf numFmtId="0" fontId="17" fillId="16" borderId="55" xfId="0" applyFont="1" applyFill="1" applyBorder="1" applyAlignment="1">
      <alignment horizontal="center"/>
    </xf>
    <xf numFmtId="0" fontId="0" fillId="0" borderId="62" xfId="0" applyBorder="1"/>
    <xf numFmtId="0" fontId="6" fillId="7" borderId="27" xfId="0" applyFont="1" applyFill="1" applyBorder="1"/>
    <xf numFmtId="11" fontId="0" fillId="0" borderId="27" xfId="0" applyNumberFormat="1" applyBorder="1"/>
    <xf numFmtId="166" fontId="0" fillId="0" borderId="27" xfId="0" applyNumberFormat="1" applyBorder="1"/>
    <xf numFmtId="166" fontId="0" fillId="0" borderId="47" xfId="0" applyNumberFormat="1" applyBorder="1"/>
    <xf numFmtId="166" fontId="0" fillId="0" borderId="28" xfId="0" applyNumberFormat="1" applyBorder="1"/>
    <xf numFmtId="167" fontId="0" fillId="19" borderId="9" xfId="0" applyNumberFormat="1" applyFill="1" applyBorder="1"/>
    <xf numFmtId="164" fontId="0" fillId="0" borderId="33" xfId="0" applyNumberFormat="1" applyBorder="1"/>
    <xf numFmtId="168" fontId="0" fillId="0" borderId="34" xfId="0" applyNumberFormat="1" applyBorder="1"/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8" fillId="0" borderId="9" xfId="4" applyBorder="1" applyAlignment="1">
      <alignment horizontal="center" wrapText="1"/>
    </xf>
    <xf numFmtId="0" fontId="8" fillId="0" borderId="9" xfId="4" applyBorder="1" applyAlignment="1">
      <alignment horizontal="center"/>
    </xf>
    <xf numFmtId="0" fontId="12" fillId="0" borderId="9" xfId="4" applyFont="1" applyBorder="1" applyAlignment="1">
      <alignment horizontal="center"/>
    </xf>
    <xf numFmtId="0" fontId="2" fillId="2" borderId="24" xfId="1" applyBorder="1" applyAlignment="1">
      <alignment horizontal="left"/>
    </xf>
    <xf numFmtId="0" fontId="2" fillId="2" borderId="9" xfId="1" applyBorder="1" applyAlignment="1">
      <alignment horizontal="left"/>
    </xf>
    <xf numFmtId="0" fontId="2" fillId="2" borderId="13" xfId="1" applyBorder="1" applyAlignment="1">
      <alignment horizontal="left"/>
    </xf>
    <xf numFmtId="0" fontId="2" fillId="2" borderId="31" xfId="1" applyBorder="1" applyAlignment="1"/>
    <xf numFmtId="0" fontId="2" fillId="2" borderId="33" xfId="1" applyBorder="1" applyAlignment="1"/>
    <xf numFmtId="0" fontId="2" fillId="2" borderId="48" xfId="1" applyBorder="1" applyAlignment="1"/>
    <xf numFmtId="0" fontId="2" fillId="2" borderId="24" xfId="1" applyBorder="1" applyAlignment="1"/>
    <xf numFmtId="0" fontId="2" fillId="2" borderId="9" xfId="1" applyBorder="1" applyAlignment="1"/>
    <xf numFmtId="0" fontId="2" fillId="2" borderId="13" xfId="1" applyBorder="1" applyAlignment="1"/>
    <xf numFmtId="0" fontId="2" fillId="2" borderId="26" xfId="1" applyBorder="1" applyAlignment="1"/>
    <xf numFmtId="0" fontId="2" fillId="2" borderId="27" xfId="1" applyBorder="1" applyAlignment="1"/>
    <xf numFmtId="0" fontId="2" fillId="2" borderId="53" xfId="1" applyBorder="1" applyAlignment="1"/>
    <xf numFmtId="0" fontId="2" fillId="2" borderId="60" xfId="1" applyBorder="1" applyAlignment="1"/>
    <xf numFmtId="0" fontId="2" fillId="2" borderId="39" xfId="1" applyBorder="1" applyAlignment="1"/>
    <xf numFmtId="0" fontId="2" fillId="2" borderId="40" xfId="1" applyBorder="1" applyAlignment="1"/>
    <xf numFmtId="0" fontId="0" fillId="11" borderId="37" xfId="0" applyFill="1" applyBorder="1" applyAlignment="1">
      <alignment horizontal="center" vertical="center" wrapText="1"/>
    </xf>
    <xf numFmtId="0" fontId="0" fillId="11" borderId="38" xfId="0" applyFill="1" applyBorder="1" applyAlignment="1">
      <alignment horizontal="center" vertical="center" wrapText="1"/>
    </xf>
    <xf numFmtId="0" fontId="0" fillId="11" borderId="61" xfId="0" applyFill="1" applyBorder="1" applyAlignment="1">
      <alignment horizontal="center" vertical="center" wrapText="1"/>
    </xf>
    <xf numFmtId="0" fontId="0" fillId="0" borderId="9" xfId="0" applyBorder="1"/>
    <xf numFmtId="0" fontId="0" fillId="0" borderId="35" xfId="0" applyBorder="1"/>
    <xf numFmtId="0" fontId="2" fillId="2" borderId="51" xfId="1" applyBorder="1" applyAlignment="1">
      <alignment horizontal="left" vertical="center" wrapText="1"/>
    </xf>
    <xf numFmtId="0" fontId="2" fillId="2" borderId="36" xfId="1" applyBorder="1" applyAlignment="1">
      <alignment horizontal="left" vertical="center" wrapText="1"/>
    </xf>
    <xf numFmtId="0" fontId="2" fillId="2" borderId="52" xfId="1" applyBorder="1" applyAlignment="1">
      <alignment horizontal="left" vertical="center" wrapText="1"/>
    </xf>
    <xf numFmtId="0" fontId="0" fillId="11" borderId="33" xfId="0" applyFill="1" applyBorder="1"/>
    <xf numFmtId="0" fontId="0" fillId="11" borderId="27" xfId="0" applyFill="1" applyBorder="1"/>
    <xf numFmtId="0" fontId="15" fillId="3" borderId="9" xfId="2" applyFont="1" applyBorder="1" applyAlignment="1" applyProtection="1">
      <alignment horizontal="center" vertical="center" wrapText="1"/>
    </xf>
    <xf numFmtId="0" fontId="15" fillId="3" borderId="10" xfId="2" applyFont="1" applyBorder="1" applyAlignment="1" applyProtection="1">
      <alignment horizontal="center" vertical="center" wrapText="1"/>
    </xf>
    <xf numFmtId="0" fontId="2" fillId="2" borderId="25" xfId="1" applyBorder="1" applyAlignment="1"/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39" xfId="0" applyBorder="1" applyAlignment="1">
      <alignment horizontal="right" vertical="center"/>
    </xf>
    <xf numFmtId="0" fontId="5" fillId="5" borderId="17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10" fillId="9" borderId="15" xfId="0" applyFont="1" applyFill="1" applyBorder="1" applyAlignment="1">
      <alignment horizontal="left"/>
    </xf>
    <xf numFmtId="0" fontId="10" fillId="9" borderId="47" xfId="0" applyFont="1" applyFill="1" applyBorder="1" applyAlignment="1">
      <alignment horizontal="left"/>
    </xf>
    <xf numFmtId="0" fontId="6" fillId="0" borderId="6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7" borderId="48" xfId="0" applyFont="1" applyFill="1" applyBorder="1" applyAlignment="1">
      <alignment horizontal="left" vertical="center" wrapText="1"/>
    </xf>
    <xf numFmtId="0" fontId="6" fillId="7" borderId="32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6" xfId="0" applyFont="1" applyBorder="1" applyAlignment="1">
      <alignment horizontal="center" vertical="center" textRotation="90" wrapText="1"/>
    </xf>
    <xf numFmtId="11" fontId="6" fillId="10" borderId="52" xfId="0" applyNumberFormat="1" applyFont="1" applyFill="1" applyBorder="1" applyAlignment="1">
      <alignment horizontal="center" vertical="center" wrapText="1"/>
    </xf>
    <xf numFmtId="11" fontId="6" fillId="10" borderId="18" xfId="0" applyNumberFormat="1" applyFont="1" applyFill="1" applyBorder="1" applyAlignment="1">
      <alignment horizontal="center" vertical="center" wrapText="1"/>
    </xf>
    <xf numFmtId="0" fontId="6" fillId="22" borderId="9" xfId="0" applyFont="1" applyFill="1" applyBorder="1" applyAlignment="1">
      <alignment horizontal="left" wrapText="1"/>
    </xf>
    <xf numFmtId="0" fontId="6" fillId="22" borderId="13" xfId="0" applyFont="1" applyFill="1" applyBorder="1" applyAlignment="1">
      <alignment horizontal="left" wrapText="1"/>
    </xf>
    <xf numFmtId="0" fontId="17" fillId="15" borderId="54" xfId="0" applyFont="1" applyFill="1" applyBorder="1" applyAlignment="1">
      <alignment horizontal="left"/>
    </xf>
    <xf numFmtId="0" fontId="17" fillId="15" borderId="64" xfId="0" applyFont="1" applyFill="1" applyBorder="1" applyAlignment="1">
      <alignment horizontal="left"/>
    </xf>
    <xf numFmtId="0" fontId="17" fillId="15" borderId="55" xfId="0" applyFont="1" applyFill="1" applyBorder="1" applyAlignment="1">
      <alignment horizontal="left"/>
    </xf>
    <xf numFmtId="0" fontId="6" fillId="0" borderId="41" xfId="0" applyFont="1" applyBorder="1" applyAlignment="1">
      <alignment horizontal="center" vertical="center" textRotation="90" wrapText="1"/>
    </xf>
    <xf numFmtId="0" fontId="6" fillId="0" borderId="42" xfId="0" applyFont="1" applyBorder="1" applyAlignment="1">
      <alignment horizontal="center" vertical="center" textRotation="90" wrapText="1"/>
    </xf>
    <xf numFmtId="0" fontId="0" fillId="14" borderId="10" xfId="0" applyFill="1" applyBorder="1" applyAlignment="1">
      <alignment horizontal="center"/>
    </xf>
    <xf numFmtId="0" fontId="0" fillId="14" borderId="17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0" fontId="0" fillId="0" borderId="15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6" fillId="0" borderId="43" xfId="0" applyFont="1" applyBorder="1" applyAlignment="1">
      <alignment horizontal="center" vertical="center" textRotation="90" wrapText="1"/>
    </xf>
    <xf numFmtId="0" fontId="0" fillId="14" borderId="5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6" fillId="0" borderId="63" xfId="0" applyFont="1" applyBorder="1" applyAlignment="1">
      <alignment horizontal="center" vertical="center" textRotation="90" wrapText="1"/>
    </xf>
    <xf numFmtId="0" fontId="6" fillId="0" borderId="45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10" fontId="4" fillId="4" borderId="16" xfId="3" applyNumberFormat="1" applyBorder="1" applyAlignment="1" applyProtection="1">
      <alignment horizontal="center" vertical="center"/>
      <protection locked="0"/>
    </xf>
    <xf numFmtId="0" fontId="4" fillId="4" borderId="17" xfId="3" applyBorder="1" applyAlignment="1" applyProtection="1">
      <alignment horizontal="center" vertical="center"/>
      <protection locked="0"/>
    </xf>
    <xf numFmtId="0" fontId="4" fillId="4" borderId="40" xfId="3" applyBorder="1" applyAlignment="1" applyProtection="1">
      <alignment horizontal="center" vertical="center"/>
      <protection locked="0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6" borderId="22" xfId="0" applyFont="1" applyFill="1" applyBorder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13" fillId="6" borderId="3" xfId="0" applyFont="1" applyFill="1" applyBorder="1" applyAlignment="1">
      <alignment horizontal="center" vertical="center" wrapText="1"/>
    </xf>
    <xf numFmtId="0" fontId="17" fillId="13" borderId="40" xfId="0" applyFont="1" applyFill="1" applyBorder="1" applyAlignment="1">
      <alignment horizontal="center"/>
    </xf>
    <xf numFmtId="0" fontId="17" fillId="13" borderId="35" xfId="0" applyFont="1" applyFill="1" applyBorder="1" applyAlignment="1">
      <alignment horizontal="center"/>
    </xf>
    <xf numFmtId="0" fontId="17" fillId="13" borderId="2" xfId="0" applyFont="1" applyFill="1" applyBorder="1" applyAlignment="1">
      <alignment horizontal="left"/>
    </xf>
    <xf numFmtId="0" fontId="17" fillId="13" borderId="21" xfId="0" applyFont="1" applyFill="1" applyBorder="1" applyAlignment="1">
      <alignment horizontal="left"/>
    </xf>
    <xf numFmtId="0" fontId="13" fillId="6" borderId="21" xfId="0" applyFont="1" applyFill="1" applyBorder="1" applyAlignment="1">
      <alignment horizontal="center" vertical="center" wrapText="1"/>
    </xf>
    <xf numFmtId="0" fontId="17" fillId="20" borderId="0" xfId="0" applyFont="1" applyFill="1" applyAlignment="1">
      <alignment horizontal="center"/>
    </xf>
  </cellXfs>
  <cellStyles count="6">
    <cellStyle name="Good" xfId="1" builtinId="26"/>
    <cellStyle name="Hyperlink" xfId="4" builtinId="8"/>
    <cellStyle name="Input" xfId="3" builtinId="20"/>
    <cellStyle name="Neutral" xfId="2" builtinId="28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6"/>
          <c:order val="0"/>
          <c:tx>
            <c:strRef>
              <c:f>'MACC '!$A$3</c:f>
              <c:strCache>
                <c:ptCount val="1"/>
                <c:pt idx="0">
                  <c:v>Scenario Ideal-APS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'MACC '!$B$3</c:f>
              <c:numCache>
                <c:formatCode>0.00</c:formatCode>
                <c:ptCount val="1"/>
                <c:pt idx="0">
                  <c:v>-69.267905397735731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8-4EBA-85FA-640F9475AE4F}"/>
            </c:ext>
          </c:extLst>
        </c:ser>
        <c:ser>
          <c:idx val="0"/>
          <c:order val="1"/>
          <c:tx>
            <c:strRef>
              <c:f>'MACC '!$A$4</c:f>
              <c:strCache>
                <c:ptCount val="1"/>
                <c:pt idx="0">
                  <c:v>Scenario E-APS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'MACC '!$D$4:$D$9</c:f>
              <c:numCache>
                <c:formatCode>General</c:formatCode>
                <c:ptCount val="6"/>
              </c:numCache>
            </c:numRef>
          </c:cat>
          <c:val>
            <c:numRef>
              <c:f>'MACC '!$B$4</c:f>
              <c:numCache>
                <c:formatCode>0.00</c:formatCode>
                <c:ptCount val="1"/>
                <c:pt idx="0">
                  <c:v>35.491561601514739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8-4EBA-85FA-640F9475AE4F}"/>
            </c:ext>
          </c:extLst>
        </c:ser>
        <c:ser>
          <c:idx val="1"/>
          <c:order val="2"/>
          <c:tx>
            <c:strRef>
              <c:f>'MACC '!$A$5</c:f>
              <c:strCache>
                <c:ptCount val="1"/>
                <c:pt idx="0">
                  <c:v>Scenario F-APS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'MACC '!$D$4:$D$9</c:f>
              <c:numCache>
                <c:formatCode>General</c:formatCode>
                <c:ptCount val="6"/>
              </c:numCache>
            </c:numRef>
          </c:cat>
          <c:val>
            <c:numRef>
              <c:f>'MACC '!$B$5</c:f>
              <c:numCache>
                <c:formatCode>0.00</c:formatCode>
                <c:ptCount val="1"/>
                <c:pt idx="0">
                  <c:v>37.249994485155199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C8-4EBA-85FA-640F9475AE4F}"/>
            </c:ext>
          </c:extLst>
        </c:ser>
        <c:ser>
          <c:idx val="2"/>
          <c:order val="3"/>
          <c:tx>
            <c:strRef>
              <c:f>'MACC '!$A$6</c:f>
              <c:strCache>
                <c:ptCount val="1"/>
                <c:pt idx="0">
                  <c:v>Scenario C-APS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'MACC '!$D$4:$D$9</c:f>
              <c:numCache>
                <c:formatCode>General</c:formatCode>
                <c:ptCount val="6"/>
              </c:numCache>
            </c:numRef>
          </c:cat>
          <c:val>
            <c:numRef>
              <c:f>'MACC '!$B$6</c:f>
              <c:numCache>
                <c:formatCode>0.00</c:formatCode>
                <c:ptCount val="1"/>
                <c:pt idx="0">
                  <c:v>123.53420092509776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C8-4EBA-85FA-640F9475AE4F}"/>
            </c:ext>
          </c:extLst>
        </c:ser>
        <c:ser>
          <c:idx val="3"/>
          <c:order val="4"/>
          <c:tx>
            <c:strRef>
              <c:f>'MACC '!$A$7</c:f>
              <c:strCache>
                <c:ptCount val="1"/>
                <c:pt idx="0">
                  <c:v>Scenario D-APS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'MACC '!$D$4:$D$9</c:f>
              <c:numCache>
                <c:formatCode>General</c:formatCode>
                <c:ptCount val="6"/>
              </c:numCache>
            </c:numRef>
          </c:cat>
          <c:val>
            <c:numRef>
              <c:f>'MACC '!$B$7</c:f>
              <c:numCache>
                <c:formatCode>0.00</c:formatCode>
                <c:ptCount val="1"/>
                <c:pt idx="0">
                  <c:v>124.71766510109563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C8-4EBA-85FA-640F9475AE4F}"/>
            </c:ext>
          </c:extLst>
        </c:ser>
        <c:ser>
          <c:idx val="4"/>
          <c:order val="5"/>
          <c:tx>
            <c:strRef>
              <c:f>'MACC '!$A$8</c:f>
              <c:strCache>
                <c:ptCount val="1"/>
                <c:pt idx="0">
                  <c:v>Scenario B-APS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'MACC '!$D$4:$D$9</c:f>
              <c:numCache>
                <c:formatCode>General</c:formatCode>
                <c:ptCount val="6"/>
              </c:numCache>
            </c:numRef>
          </c:cat>
          <c:val>
            <c:numRef>
              <c:f>'MACC '!$B$8</c:f>
              <c:numCache>
                <c:formatCode>0.00</c:formatCode>
                <c:ptCount val="1"/>
                <c:pt idx="0">
                  <c:v>142.25554852580359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C8-4EBA-85FA-640F9475AE4F}"/>
            </c:ext>
          </c:extLst>
        </c:ser>
        <c:ser>
          <c:idx val="5"/>
          <c:order val="6"/>
          <c:tx>
            <c:strRef>
              <c:f>'MACC '!$A$9</c:f>
              <c:strCache>
                <c:ptCount val="1"/>
                <c:pt idx="0">
                  <c:v>Scenario A-APS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'MACC '!$D$4:$D$9</c:f>
              <c:numCache>
                <c:formatCode>General</c:formatCode>
                <c:ptCount val="6"/>
              </c:numCache>
            </c:numRef>
          </c:cat>
          <c:val>
            <c:numRef>
              <c:f>'MACC '!$B$9</c:f>
              <c:numCache>
                <c:formatCode>0.00</c:formatCode>
                <c:ptCount val="1"/>
                <c:pt idx="0">
                  <c:v>272.11795474036438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C8-4EBA-85FA-640F9475AE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18591232"/>
        <c:axId val="518594184"/>
      </c:barChart>
      <c:dateAx>
        <c:axId val="5185912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Abatement</a:t>
                </a:r>
                <a:r>
                  <a:rPr lang="en-US" baseline="0"/>
                  <a:t> potential Mt CO2eq, 2020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18594184"/>
        <c:crosses val="autoZero"/>
        <c:auto val="0"/>
        <c:lblOffset val="100"/>
        <c:baseTimeUnit val="days"/>
      </c:dateAx>
      <c:valAx>
        <c:axId val="518594184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$/t CO2-eq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9123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6"/>
          <c:order val="0"/>
          <c:tx>
            <c:strRef>
              <c:f>'MACC '!$A$3</c:f>
              <c:strCache>
                <c:ptCount val="1"/>
                <c:pt idx="0">
                  <c:v>Scenario Ideal-APS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'MACC '!$B$3</c:f>
              <c:numCache>
                <c:formatCode>0.00</c:formatCode>
                <c:ptCount val="1"/>
                <c:pt idx="0">
                  <c:v>-69.267905397735731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C-43B9-8266-2A2F1F115CD0}"/>
            </c:ext>
          </c:extLst>
        </c:ser>
        <c:ser>
          <c:idx val="0"/>
          <c:order val="1"/>
          <c:tx>
            <c:strRef>
              <c:f>'MACC '!$A$4</c:f>
              <c:strCache>
                <c:ptCount val="1"/>
                <c:pt idx="0">
                  <c:v>Scenario E-APS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'MACC '!$D$4:$D$9</c:f>
              <c:numCache>
                <c:formatCode>General</c:formatCode>
                <c:ptCount val="6"/>
              </c:numCache>
            </c:numRef>
          </c:cat>
          <c:val>
            <c:numRef>
              <c:f>'MACC '!$B$4</c:f>
              <c:numCache>
                <c:formatCode>0.00</c:formatCode>
                <c:ptCount val="1"/>
                <c:pt idx="0">
                  <c:v>35.491561601514739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7-4028-821D-4752742A7C72}"/>
            </c:ext>
          </c:extLst>
        </c:ser>
        <c:ser>
          <c:idx val="1"/>
          <c:order val="2"/>
          <c:tx>
            <c:strRef>
              <c:f>'MACC '!$A$5</c:f>
              <c:strCache>
                <c:ptCount val="1"/>
                <c:pt idx="0">
                  <c:v>Scenario F-APS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'MACC '!$D$4:$D$9</c:f>
              <c:numCache>
                <c:formatCode>General</c:formatCode>
                <c:ptCount val="6"/>
              </c:numCache>
            </c:numRef>
          </c:cat>
          <c:val>
            <c:numRef>
              <c:f>'MACC '!$B$5</c:f>
              <c:numCache>
                <c:formatCode>0.00</c:formatCode>
                <c:ptCount val="1"/>
                <c:pt idx="0">
                  <c:v>37.249994485155199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D7-4028-821D-4752742A7C72}"/>
            </c:ext>
          </c:extLst>
        </c:ser>
        <c:ser>
          <c:idx val="2"/>
          <c:order val="3"/>
          <c:tx>
            <c:strRef>
              <c:f>'MACC '!$A$6</c:f>
              <c:strCache>
                <c:ptCount val="1"/>
                <c:pt idx="0">
                  <c:v>Scenario C-APS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'MACC '!$D$4:$D$9</c:f>
              <c:numCache>
                <c:formatCode>General</c:formatCode>
                <c:ptCount val="6"/>
              </c:numCache>
            </c:numRef>
          </c:cat>
          <c:val>
            <c:numRef>
              <c:f>'MACC '!$B$6</c:f>
              <c:numCache>
                <c:formatCode>0.00</c:formatCode>
                <c:ptCount val="1"/>
                <c:pt idx="0">
                  <c:v>123.53420092509776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D7-4028-821D-4752742A7C72}"/>
            </c:ext>
          </c:extLst>
        </c:ser>
        <c:ser>
          <c:idx val="3"/>
          <c:order val="4"/>
          <c:tx>
            <c:strRef>
              <c:f>'MACC '!$A$7</c:f>
              <c:strCache>
                <c:ptCount val="1"/>
                <c:pt idx="0">
                  <c:v>Scenario D-APS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'MACC '!$D$4:$D$9</c:f>
              <c:numCache>
                <c:formatCode>General</c:formatCode>
                <c:ptCount val="6"/>
              </c:numCache>
            </c:numRef>
          </c:cat>
          <c:val>
            <c:numRef>
              <c:f>'MACC '!$B$7</c:f>
              <c:numCache>
                <c:formatCode>0.00</c:formatCode>
                <c:ptCount val="1"/>
                <c:pt idx="0">
                  <c:v>124.71766510109563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D7-4028-821D-4752742A7C72}"/>
            </c:ext>
          </c:extLst>
        </c:ser>
        <c:ser>
          <c:idx val="4"/>
          <c:order val="5"/>
          <c:tx>
            <c:strRef>
              <c:f>'MACC '!$A$8</c:f>
              <c:strCache>
                <c:ptCount val="1"/>
                <c:pt idx="0">
                  <c:v>Scenario B-APS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'MACC '!$D$4:$D$9</c:f>
              <c:numCache>
                <c:formatCode>General</c:formatCode>
                <c:ptCount val="6"/>
              </c:numCache>
            </c:numRef>
          </c:cat>
          <c:val>
            <c:numRef>
              <c:f>'MACC '!$B$8</c:f>
              <c:numCache>
                <c:formatCode>0.00</c:formatCode>
                <c:ptCount val="1"/>
                <c:pt idx="0">
                  <c:v>142.25554852580359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D7-4028-821D-4752742A7C72}"/>
            </c:ext>
          </c:extLst>
        </c:ser>
        <c:ser>
          <c:idx val="5"/>
          <c:order val="6"/>
          <c:tx>
            <c:strRef>
              <c:f>'MACC '!$A$9</c:f>
              <c:strCache>
                <c:ptCount val="1"/>
                <c:pt idx="0">
                  <c:v>Scenario A-APS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'MACC '!$D$4:$D$9</c:f>
              <c:numCache>
                <c:formatCode>General</c:formatCode>
                <c:ptCount val="6"/>
              </c:numCache>
            </c:numRef>
          </c:cat>
          <c:val>
            <c:numRef>
              <c:f>'MACC '!$B$9</c:f>
              <c:numCache>
                <c:formatCode>0.00</c:formatCode>
                <c:ptCount val="1"/>
                <c:pt idx="0">
                  <c:v>272.11795474036438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D7-4028-821D-4752742A7C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18591232"/>
        <c:axId val="518594184"/>
      </c:barChart>
      <c:dateAx>
        <c:axId val="5185912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Abatement</a:t>
                </a:r>
                <a:r>
                  <a:rPr lang="en-US" baseline="0"/>
                  <a:t> potential Mt CO2eq, 2020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18594184"/>
        <c:crosses val="autoZero"/>
        <c:auto val="0"/>
        <c:lblOffset val="100"/>
        <c:baseTimeUnit val="days"/>
      </c:dateAx>
      <c:valAx>
        <c:axId val="518594184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$/t CO2-eq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9123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1646420</xdr:colOff>
      <xdr:row>2</xdr:row>
      <xdr:rowOff>127221</xdr:rowOff>
    </xdr:from>
    <xdr:to>
      <xdr:col>2</xdr:col>
      <xdr:colOff>2600325</xdr:colOff>
      <xdr:row>4</xdr:row>
      <xdr:rowOff>381001</xdr:rowOff>
    </xdr:to>
    <xdr:pic>
      <xdr:nvPicPr>
        <xdr:cNvPr id="6" name="Picture 5" descr="D:\images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5045" y="593946"/>
          <a:ext cx="953905" cy="63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1905000</xdr:colOff>
      <xdr:row>5</xdr:row>
      <xdr:rowOff>66676</xdr:rowOff>
    </xdr:from>
    <xdr:to>
      <xdr:col>2</xdr:col>
      <xdr:colOff>2533650</xdr:colOff>
      <xdr:row>7</xdr:row>
      <xdr:rowOff>323851</xdr:rowOff>
    </xdr:to>
    <xdr:pic>
      <xdr:nvPicPr>
        <xdr:cNvPr id="7" name="Picture 6" descr="D:\images (1)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1362076"/>
          <a:ext cx="6286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547687</xdr:colOff>
      <xdr:row>22</xdr:row>
      <xdr:rowOff>130969</xdr:rowOff>
    </xdr:from>
    <xdr:to>
      <xdr:col>20</xdr:col>
      <xdr:colOff>785812</xdr:colOff>
      <xdr:row>44</xdr:row>
      <xdr:rowOff>107156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2062162</xdr:colOff>
      <xdr:row>12</xdr:row>
      <xdr:rowOff>19050</xdr:rowOff>
    </xdr:from>
    <xdr:to>
      <xdr:col>12</xdr:col>
      <xdr:colOff>466725</xdr:colOff>
      <xdr:row>34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ond%20paper/spreadsheet-for-evaluation-of-cost-of-retrofitting-co2-capture-from-refineries-case-03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 - instructions"/>
      <sheetName val="Input data"/>
      <sheetName val="Discount factors"/>
      <sheetName val="Detailed cost results"/>
      <sheetName val="Summarised cost results"/>
      <sheetName val="Sensitivity analyses"/>
    </sheetNames>
    <sheetDataSet>
      <sheetData sheetId="0"/>
      <sheetData sheetId="1"/>
      <sheetData sheetId="2"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10</v>
          </cell>
        </row>
        <row r="16">
          <cell r="B16">
            <v>11</v>
          </cell>
        </row>
        <row r="17">
          <cell r="B17">
            <v>12</v>
          </cell>
        </row>
        <row r="18">
          <cell r="B18">
            <v>13</v>
          </cell>
        </row>
        <row r="19">
          <cell r="B19">
            <v>14</v>
          </cell>
        </row>
        <row r="20">
          <cell r="B20">
            <v>15</v>
          </cell>
        </row>
        <row r="21">
          <cell r="B21">
            <v>16</v>
          </cell>
        </row>
        <row r="22">
          <cell r="B22">
            <v>17</v>
          </cell>
        </row>
        <row r="23">
          <cell r="B23">
            <v>18</v>
          </cell>
        </row>
        <row r="24">
          <cell r="B24">
            <v>19</v>
          </cell>
        </row>
        <row r="25">
          <cell r="B25">
            <v>20</v>
          </cell>
        </row>
        <row r="26">
          <cell r="B26">
            <v>21</v>
          </cell>
        </row>
        <row r="27">
          <cell r="B27">
            <v>22</v>
          </cell>
        </row>
        <row r="28">
          <cell r="B28">
            <v>23</v>
          </cell>
        </row>
        <row r="29">
          <cell r="B29">
            <v>24</v>
          </cell>
        </row>
        <row r="30">
          <cell r="B30">
            <v>25</v>
          </cell>
        </row>
        <row r="31">
          <cell r="B31">
            <v>26</v>
          </cell>
        </row>
        <row r="32">
          <cell r="B32">
            <v>27</v>
          </cell>
        </row>
        <row r="33">
          <cell r="B33">
            <v>28</v>
          </cell>
        </row>
        <row r="34">
          <cell r="B34">
            <v>29</v>
          </cell>
        </row>
        <row r="35">
          <cell r="B35">
            <v>30</v>
          </cell>
        </row>
        <row r="36">
          <cell r="B36">
            <v>31</v>
          </cell>
        </row>
        <row r="37">
          <cell r="B37">
            <v>32</v>
          </cell>
        </row>
        <row r="38">
          <cell r="B38">
            <v>33</v>
          </cell>
        </row>
        <row r="39">
          <cell r="B39">
            <v>34</v>
          </cell>
        </row>
        <row r="40">
          <cell r="B40">
            <v>35</v>
          </cell>
        </row>
        <row r="41">
          <cell r="B41">
            <v>36</v>
          </cell>
        </row>
        <row r="42">
          <cell r="B42">
            <v>37</v>
          </cell>
        </row>
        <row r="43">
          <cell r="B43">
            <v>38</v>
          </cell>
        </row>
        <row r="44">
          <cell r="B44">
            <v>39</v>
          </cell>
        </row>
        <row r="45">
          <cell r="B45">
            <v>40</v>
          </cell>
        </row>
        <row r="46">
          <cell r="B46">
            <v>41</v>
          </cell>
        </row>
        <row r="47">
          <cell r="B47">
            <v>42</v>
          </cell>
        </row>
        <row r="48">
          <cell r="B48">
            <v>43</v>
          </cell>
        </row>
        <row r="49">
          <cell r="B49">
            <v>44</v>
          </cell>
        </row>
        <row r="50">
          <cell r="B50">
            <v>45</v>
          </cell>
        </row>
        <row r="51">
          <cell r="B51">
            <v>46</v>
          </cell>
        </row>
        <row r="52">
          <cell r="B52">
            <v>47</v>
          </cell>
        </row>
        <row r="53">
          <cell r="B53">
            <v>48</v>
          </cell>
        </row>
        <row r="54">
          <cell r="B54">
            <v>49</v>
          </cell>
        </row>
        <row r="55">
          <cell r="B55">
            <v>50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wolde@kth.se" TargetMode="External"/><Relationship Id="rId2" Type="http://schemas.openxmlformats.org/officeDocument/2006/relationships/hyperlink" Target="mailto:dilip.khatiwada@energy.kth.se" TargetMode="External"/><Relationship Id="rId1" Type="http://schemas.openxmlformats.org/officeDocument/2006/relationships/hyperlink" Target="mailto:mickfeke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8"/>
  <sheetViews>
    <sheetView workbookViewId="0">
      <selection activeCell="C17" sqref="C17"/>
    </sheetView>
  </sheetViews>
  <sheetFormatPr defaultRowHeight="14.5" x14ac:dyDescent="0.35"/>
  <cols>
    <col min="1" max="1" width="29.6328125" customWidth="1"/>
    <col min="2" max="2" width="34" customWidth="1"/>
    <col min="3" max="3" width="100.26953125" customWidth="1"/>
  </cols>
  <sheetData>
    <row r="1" spans="1:3" ht="21.5" thickBot="1" x14ac:dyDescent="0.55000000000000004">
      <c r="A1" s="1" t="s">
        <v>200</v>
      </c>
      <c r="B1" s="2"/>
      <c r="C1" s="2"/>
    </row>
    <row r="2" spans="1:3" ht="21" x14ac:dyDescent="0.5">
      <c r="A2" s="3" t="s">
        <v>0</v>
      </c>
      <c r="B2" s="4" t="s">
        <v>4</v>
      </c>
      <c r="C2" s="5" t="s">
        <v>7</v>
      </c>
    </row>
    <row r="3" spans="1:3" x14ac:dyDescent="0.35">
      <c r="A3" s="139" t="s">
        <v>5</v>
      </c>
      <c r="B3" s="145" t="s">
        <v>1</v>
      </c>
      <c r="C3" s="144"/>
    </row>
    <row r="4" spans="1:3" x14ac:dyDescent="0.35">
      <c r="A4" s="140"/>
      <c r="B4" s="145"/>
      <c r="C4" s="144"/>
    </row>
    <row r="5" spans="1:3" ht="35.25" customHeight="1" x14ac:dyDescent="0.45">
      <c r="A5" s="141"/>
      <c r="B5" s="6" t="s">
        <v>2</v>
      </c>
      <c r="C5" s="144"/>
    </row>
    <row r="6" spans="1:3" x14ac:dyDescent="0.35">
      <c r="A6" s="139" t="s">
        <v>6</v>
      </c>
      <c r="B6" s="145" t="s">
        <v>3</v>
      </c>
      <c r="C6" s="143"/>
    </row>
    <row r="7" spans="1:3" x14ac:dyDescent="0.35">
      <c r="A7" s="140"/>
      <c r="B7" s="145"/>
      <c r="C7" s="143"/>
    </row>
    <row r="8" spans="1:3" ht="33.75" customHeight="1" thickBot="1" x14ac:dyDescent="0.4">
      <c r="A8" s="142"/>
      <c r="B8" s="145"/>
      <c r="C8" s="143"/>
    </row>
  </sheetData>
  <mergeCells count="6">
    <mergeCell ref="A3:A5"/>
    <mergeCell ref="A6:A8"/>
    <mergeCell ref="C6:C8"/>
    <mergeCell ref="C3:C5"/>
    <mergeCell ref="B3:B4"/>
    <mergeCell ref="B6:B8"/>
  </mergeCells>
  <hyperlinks>
    <hyperlink ref="B3" r:id="rId1" xr:uid="{00000000-0004-0000-0000-000000000000}"/>
    <hyperlink ref="B6" r:id="rId2" xr:uid="{00000000-0004-0000-0000-000001000000}"/>
    <hyperlink ref="B5" r:id="rId3" xr:uid="{00000000-0004-0000-0000-000002000000}"/>
  </hyperlinks>
  <pageMargins left="0.7" right="0.7" top="0.75" bottom="0.75" header="0.3" footer="0.3"/>
  <pageSetup paperSize="9" orientation="portrait" horizontalDpi="4294967295" verticalDpi="4294967295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55"/>
  <sheetViews>
    <sheetView zoomScaleNormal="100" workbookViewId="0">
      <selection activeCell="C9" sqref="C9"/>
    </sheetView>
  </sheetViews>
  <sheetFormatPr defaultRowHeight="14.5" x14ac:dyDescent="0.35"/>
  <cols>
    <col min="1" max="1" width="35.26953125" customWidth="1"/>
    <col min="2" max="2" width="13.81640625" customWidth="1"/>
    <col min="4" max="5" width="15" customWidth="1"/>
    <col min="6" max="6" width="21.81640625" customWidth="1"/>
    <col min="7" max="7" width="21.36328125" customWidth="1"/>
    <col min="8" max="8" width="21.08984375" customWidth="1"/>
    <col min="9" max="9" width="19.7265625" customWidth="1"/>
    <col min="10" max="10" width="19.36328125" customWidth="1"/>
    <col min="11" max="11" width="20.36328125" customWidth="1"/>
    <col min="12" max="12" width="20.6328125" customWidth="1"/>
    <col min="13" max="13" width="20.7265625" customWidth="1"/>
    <col min="14" max="14" width="29.6328125" customWidth="1"/>
    <col min="15" max="15" width="15.6328125" customWidth="1"/>
    <col min="16" max="16" width="19.81640625" customWidth="1"/>
    <col min="17" max="17" width="15.81640625" customWidth="1"/>
    <col min="18" max="18" width="16.81640625" customWidth="1"/>
    <col min="19" max="19" width="16.08984375" customWidth="1"/>
    <col min="20" max="20" width="15.81640625" customWidth="1"/>
    <col min="21" max="21" width="15.36328125" customWidth="1"/>
    <col min="22" max="22" width="16.36328125" customWidth="1"/>
    <col min="23" max="23" width="14.26953125" customWidth="1"/>
  </cols>
  <sheetData>
    <row r="1" spans="1:23" ht="15" thickBot="1" x14ac:dyDescent="0.4">
      <c r="A1" s="177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</row>
    <row r="2" spans="1:23" ht="33.75" customHeight="1" x14ac:dyDescent="0.35">
      <c r="A2" s="40" t="s">
        <v>91</v>
      </c>
      <c r="B2" s="187" t="s">
        <v>23</v>
      </c>
      <c r="C2" s="188"/>
      <c r="D2" s="41" t="s">
        <v>40</v>
      </c>
      <c r="E2" s="42" t="s">
        <v>24</v>
      </c>
      <c r="F2" s="22" t="s">
        <v>25</v>
      </c>
      <c r="G2" s="43" t="s">
        <v>26</v>
      </c>
      <c r="H2" s="44" t="s">
        <v>27</v>
      </c>
      <c r="I2" s="43" t="s">
        <v>28</v>
      </c>
      <c r="J2" s="43" t="s">
        <v>29</v>
      </c>
      <c r="K2" s="43" t="s">
        <v>30</v>
      </c>
      <c r="L2" s="45" t="s">
        <v>31</v>
      </c>
      <c r="M2" s="43" t="s">
        <v>31</v>
      </c>
      <c r="N2" s="179"/>
      <c r="O2" s="179"/>
      <c r="P2" s="179"/>
      <c r="Q2" s="179"/>
      <c r="R2" s="179"/>
      <c r="S2" s="179"/>
      <c r="T2" s="179"/>
      <c r="U2" s="179"/>
      <c r="V2" s="179"/>
      <c r="W2" s="179"/>
    </row>
    <row r="3" spans="1:23" ht="29" x14ac:dyDescent="0.35">
      <c r="A3" s="46" t="s">
        <v>8</v>
      </c>
      <c r="B3" s="7" t="s">
        <v>19</v>
      </c>
      <c r="C3" s="8">
        <v>5.9</v>
      </c>
      <c r="D3" s="8">
        <v>2020</v>
      </c>
      <c r="E3" s="7" t="s">
        <v>19</v>
      </c>
      <c r="F3" s="10">
        <f>5.9</f>
        <v>5.9</v>
      </c>
      <c r="G3" s="10">
        <f>F3</f>
        <v>5.9</v>
      </c>
      <c r="H3" s="10">
        <f>F3</f>
        <v>5.9</v>
      </c>
      <c r="I3" s="10">
        <f>F3</f>
        <v>5.9</v>
      </c>
      <c r="J3" s="10">
        <f>F3</f>
        <v>5.9</v>
      </c>
      <c r="K3" s="10">
        <f>F3</f>
        <v>5.9</v>
      </c>
      <c r="L3" s="115">
        <f>F3</f>
        <v>5.9</v>
      </c>
      <c r="M3" s="10">
        <f>F3</f>
        <v>5.9</v>
      </c>
      <c r="N3" s="185" t="s">
        <v>67</v>
      </c>
      <c r="O3" s="186"/>
      <c r="P3" s="118" t="s">
        <v>25</v>
      </c>
      <c r="Q3" s="119" t="s">
        <v>26</v>
      </c>
      <c r="R3" s="120" t="s">
        <v>27</v>
      </c>
      <c r="S3" s="119" t="s">
        <v>28</v>
      </c>
      <c r="T3" s="119" t="s">
        <v>29</v>
      </c>
      <c r="U3" s="119" t="s">
        <v>30</v>
      </c>
      <c r="V3" s="121" t="s">
        <v>31</v>
      </c>
      <c r="W3" s="122" t="s">
        <v>191</v>
      </c>
    </row>
    <row r="4" spans="1:23" ht="16.5" customHeight="1" x14ac:dyDescent="0.35">
      <c r="A4" s="46" t="s">
        <v>9</v>
      </c>
      <c r="B4" s="7" t="s">
        <v>20</v>
      </c>
      <c r="C4" s="8">
        <v>3.1</v>
      </c>
      <c r="D4" s="8">
        <v>2020</v>
      </c>
      <c r="E4" s="7" t="s">
        <v>19</v>
      </c>
      <c r="F4" s="10">
        <f>C4/E17</f>
        <v>4.4285714285714288</v>
      </c>
      <c r="G4" s="10">
        <f>F4</f>
        <v>4.4285714285714288</v>
      </c>
      <c r="H4" s="10">
        <f>F4</f>
        <v>4.4285714285714288</v>
      </c>
      <c r="I4" s="10">
        <f>F4</f>
        <v>4.4285714285714288</v>
      </c>
      <c r="J4" s="10">
        <f>F4</f>
        <v>4.4285714285714288</v>
      </c>
      <c r="K4" s="10">
        <f>F4</f>
        <v>4.4285714285714288</v>
      </c>
      <c r="L4" s="115">
        <f>F4</f>
        <v>4.4285714285714288</v>
      </c>
      <c r="M4" s="10">
        <f>F4</f>
        <v>4.4285714285714288</v>
      </c>
      <c r="N4" s="183" t="s">
        <v>42</v>
      </c>
      <c r="O4" s="9" t="s">
        <v>19</v>
      </c>
      <c r="P4" s="10">
        <f t="shared" ref="P4:U4" si="0">SUM(F3:F14)</f>
        <v>70.374152571428567</v>
      </c>
      <c r="Q4" s="10">
        <f t="shared" si="0"/>
        <v>65.995797571428568</v>
      </c>
      <c r="R4" s="10">
        <f t="shared" si="0"/>
        <v>65.878327571428585</v>
      </c>
      <c r="S4" s="10">
        <f t="shared" si="0"/>
        <v>65.914899571428577</v>
      </c>
      <c r="T4" s="10">
        <f t="shared" si="0"/>
        <v>66.027162571428576</v>
      </c>
      <c r="U4" s="10">
        <f t="shared" si="0"/>
        <v>45.671952571428569</v>
      </c>
      <c r="V4" s="47">
        <f>SUM(L3:L14)</f>
        <v>45.933247571428574</v>
      </c>
      <c r="W4" s="116">
        <f>SUM(M3:M14)</f>
        <v>29.009346571428573</v>
      </c>
    </row>
    <row r="5" spans="1:23" ht="15.75" customHeight="1" thickBot="1" x14ac:dyDescent="0.4">
      <c r="A5" s="46" t="s">
        <v>10</v>
      </c>
      <c r="B5" s="7" t="s">
        <v>32</v>
      </c>
      <c r="C5" s="8">
        <v>0.03</v>
      </c>
      <c r="D5" s="8">
        <v>2020</v>
      </c>
      <c r="E5" s="7" t="s">
        <v>19</v>
      </c>
      <c r="F5" s="10">
        <f>C5*E28</f>
        <v>4.0790999999999995</v>
      </c>
      <c r="G5" s="7">
        <f>C5*E29</f>
        <v>3.1121999999999996</v>
      </c>
      <c r="H5" s="7">
        <f>C5*E30</f>
        <v>3.0713999999999997</v>
      </c>
      <c r="I5" s="7">
        <f>C5*E31</f>
        <v>3.0960000000000001</v>
      </c>
      <c r="J5" s="7">
        <f>C5*E32</f>
        <v>3.1121999999999996</v>
      </c>
      <c r="K5" s="7">
        <f>C5*E33</f>
        <v>3.1412999999999998</v>
      </c>
      <c r="L5" s="9">
        <f>C5*E34</f>
        <v>3.2387999999999999</v>
      </c>
      <c r="M5" s="7">
        <f>C5*E35</f>
        <v>3.0951</v>
      </c>
      <c r="N5" s="184"/>
      <c r="O5" s="60" t="s">
        <v>20</v>
      </c>
      <c r="P5" s="20">
        <f>P4*$E$17</f>
        <v>49.261906799999991</v>
      </c>
      <c r="Q5" s="20">
        <f t="shared" ref="Q5:W5" si="1">Q4*$E$17</f>
        <v>46.197058299999995</v>
      </c>
      <c r="R5" s="20">
        <f t="shared" si="1"/>
        <v>46.114829300000004</v>
      </c>
      <c r="S5" s="20">
        <f t="shared" si="1"/>
        <v>46.140429699999999</v>
      </c>
      <c r="T5" s="20">
        <f t="shared" si="1"/>
        <v>46.219013799999999</v>
      </c>
      <c r="U5" s="20">
        <f t="shared" si="1"/>
        <v>31.970366799999997</v>
      </c>
      <c r="V5" s="21">
        <f t="shared" si="1"/>
        <v>32.153273300000002</v>
      </c>
      <c r="W5" s="48">
        <f t="shared" si="1"/>
        <v>20.3065426</v>
      </c>
    </row>
    <row r="6" spans="1:23" ht="15" customHeight="1" x14ac:dyDescent="0.35">
      <c r="A6" s="46" t="s">
        <v>11</v>
      </c>
      <c r="B6" s="7" t="s">
        <v>21</v>
      </c>
      <c r="C6" s="8">
        <v>10.1</v>
      </c>
      <c r="D6" s="8">
        <v>2020</v>
      </c>
      <c r="E6" s="7" t="s">
        <v>19</v>
      </c>
      <c r="F6" s="10">
        <f>C6*E20</f>
        <v>35.854999999999997</v>
      </c>
      <c r="G6" s="7">
        <f>C6*E21</f>
        <v>32.724000000000004</v>
      </c>
      <c r="H6" s="7">
        <f>C6*E22</f>
        <v>32.724000000000004</v>
      </c>
      <c r="I6" s="7">
        <f>C6*E23</f>
        <v>32.724000000000004</v>
      </c>
      <c r="J6" s="7">
        <f>C6*E24</f>
        <v>32.724000000000004</v>
      </c>
      <c r="K6" s="7">
        <f>C6*E25</f>
        <v>14.745999999999999</v>
      </c>
      <c r="L6" s="9">
        <f>C6*E26</f>
        <v>14.745999999999999</v>
      </c>
      <c r="M6" s="7">
        <f>C6*E27</f>
        <v>0</v>
      </c>
    </row>
    <row r="7" spans="1:23" x14ac:dyDescent="0.35">
      <c r="A7" s="46" t="s">
        <v>12</v>
      </c>
      <c r="B7" s="7" t="s">
        <v>19</v>
      </c>
      <c r="C7" s="8">
        <v>1.4</v>
      </c>
      <c r="D7" s="8">
        <v>2020</v>
      </c>
      <c r="E7" s="7" t="s">
        <v>19</v>
      </c>
      <c r="F7" s="10">
        <f>C7</f>
        <v>1.4</v>
      </c>
      <c r="G7" s="10">
        <f>F7</f>
        <v>1.4</v>
      </c>
      <c r="H7" s="10">
        <f>F7</f>
        <v>1.4</v>
      </c>
      <c r="I7" s="10">
        <f>F7</f>
        <v>1.4</v>
      </c>
      <c r="J7" s="10">
        <f>F7</f>
        <v>1.4</v>
      </c>
      <c r="K7" s="10">
        <f>F7</f>
        <v>1.4</v>
      </c>
      <c r="L7" s="115">
        <f>F7</f>
        <v>1.4</v>
      </c>
      <c r="M7" s="10">
        <f>C7</f>
        <v>1.4</v>
      </c>
    </row>
    <row r="8" spans="1:23" x14ac:dyDescent="0.35">
      <c r="A8" s="46" t="s">
        <v>13</v>
      </c>
      <c r="B8" s="7" t="s">
        <v>19</v>
      </c>
      <c r="C8" s="8">
        <v>7.0000000000000007E-2</v>
      </c>
      <c r="D8" s="8">
        <v>2013</v>
      </c>
      <c r="E8" s="7" t="s">
        <v>19</v>
      </c>
      <c r="F8" s="10">
        <f>(C8*B48/100)+C8</f>
        <v>7.8623999999999999E-2</v>
      </c>
      <c r="G8" s="10">
        <f>F8</f>
        <v>7.8623999999999999E-2</v>
      </c>
      <c r="H8" s="10">
        <f>F8</f>
        <v>7.8623999999999999E-2</v>
      </c>
      <c r="I8" s="10">
        <f>F8</f>
        <v>7.8623999999999999E-2</v>
      </c>
      <c r="J8" s="10">
        <f>F8</f>
        <v>7.8623999999999999E-2</v>
      </c>
      <c r="K8" s="10">
        <f>F8</f>
        <v>7.8623999999999999E-2</v>
      </c>
      <c r="L8" s="115">
        <f>F8</f>
        <v>7.8623999999999999E-2</v>
      </c>
      <c r="M8" s="10">
        <f>F8</f>
        <v>7.8623999999999999E-2</v>
      </c>
    </row>
    <row r="9" spans="1:23" x14ac:dyDescent="0.35">
      <c r="A9" s="46" t="s">
        <v>14</v>
      </c>
      <c r="B9" s="7" t="s">
        <v>19</v>
      </c>
      <c r="C9" s="8">
        <v>0.42</v>
      </c>
      <c r="D9" s="8">
        <v>2020</v>
      </c>
      <c r="E9" s="7" t="s">
        <v>19</v>
      </c>
      <c r="F9" s="10">
        <f>C9</f>
        <v>0.42</v>
      </c>
      <c r="G9" s="10">
        <f>F9</f>
        <v>0.42</v>
      </c>
      <c r="H9" s="10">
        <f>F9</f>
        <v>0.42</v>
      </c>
      <c r="I9" s="10">
        <f>F9</f>
        <v>0.42</v>
      </c>
      <c r="J9" s="10">
        <f>F9</f>
        <v>0.42</v>
      </c>
      <c r="K9" s="10">
        <f>F9</f>
        <v>0.42</v>
      </c>
      <c r="L9" s="115">
        <f>F9</f>
        <v>0.42</v>
      </c>
      <c r="M9" s="10">
        <f>F9</f>
        <v>0.42</v>
      </c>
    </row>
    <row r="10" spans="1:23" x14ac:dyDescent="0.35">
      <c r="A10" s="46" t="s">
        <v>15</v>
      </c>
      <c r="B10" s="7" t="s">
        <v>20</v>
      </c>
      <c r="C10" s="8">
        <v>9.27</v>
      </c>
      <c r="D10" s="8">
        <v>2020</v>
      </c>
      <c r="E10" s="7" t="s">
        <v>19</v>
      </c>
      <c r="F10" s="10">
        <f>C10/E17</f>
        <v>13.242857142857144</v>
      </c>
      <c r="G10" s="10">
        <f>F10</f>
        <v>13.242857142857144</v>
      </c>
      <c r="H10" s="10">
        <f>F10</f>
        <v>13.242857142857144</v>
      </c>
      <c r="I10" s="10">
        <f>F10</f>
        <v>13.242857142857144</v>
      </c>
      <c r="J10" s="10">
        <f>F10</f>
        <v>13.242857142857144</v>
      </c>
      <c r="K10" s="10">
        <f>F10</f>
        <v>13.242857142857144</v>
      </c>
      <c r="L10" s="115">
        <f>F10</f>
        <v>13.242857142857144</v>
      </c>
      <c r="M10" s="10">
        <f>F10</f>
        <v>13.242857142857144</v>
      </c>
    </row>
    <row r="11" spans="1:23" x14ac:dyDescent="0.35">
      <c r="A11" s="46" t="s">
        <v>39</v>
      </c>
      <c r="B11" s="7" t="s">
        <v>21</v>
      </c>
      <c r="C11" s="8">
        <v>1.4</v>
      </c>
      <c r="D11" s="8">
        <v>2020</v>
      </c>
      <c r="E11" s="7" t="s">
        <v>19</v>
      </c>
      <c r="F11" s="10">
        <f>C11*E20</f>
        <v>4.97</v>
      </c>
      <c r="G11" s="7">
        <f>C11*E21</f>
        <v>4.5359999999999996</v>
      </c>
      <c r="H11" s="7">
        <f>C11*E22</f>
        <v>4.5359999999999996</v>
      </c>
      <c r="I11" s="7">
        <f>C11*E23</f>
        <v>4.5359999999999996</v>
      </c>
      <c r="J11" s="7">
        <f>C11*E24</f>
        <v>4.5359999999999996</v>
      </c>
      <c r="K11" s="7">
        <f>C11*E25</f>
        <v>2.044</v>
      </c>
      <c r="L11" s="9">
        <f>C11*E26</f>
        <v>2.044</v>
      </c>
      <c r="M11" s="7">
        <f>C11*E27</f>
        <v>0</v>
      </c>
    </row>
    <row r="12" spans="1:23" x14ac:dyDescent="0.35">
      <c r="A12" s="46" t="s">
        <v>16</v>
      </c>
      <c r="B12" s="7" t="s">
        <v>22</v>
      </c>
      <c r="C12" s="189">
        <v>4.0999999999999996</v>
      </c>
      <c r="D12" s="189">
        <v>2020</v>
      </c>
      <c r="E12" s="7" t="s">
        <v>19</v>
      </c>
      <c r="F12" s="10">
        <v>0</v>
      </c>
      <c r="G12" s="7">
        <v>0</v>
      </c>
      <c r="H12" s="7">
        <v>0</v>
      </c>
      <c r="I12" s="7">
        <f>C12*(21.67/1000)</f>
        <v>8.8846999999999995E-2</v>
      </c>
      <c r="J12" s="7">
        <f>C12*(45.1/1000)</f>
        <v>0.18490999999999999</v>
      </c>
      <c r="K12" s="174">
        <f>C12*(66/1000)</f>
        <v>0.27060000000000001</v>
      </c>
      <c r="L12" s="180">
        <f>C12*(105.95/1000)</f>
        <v>0.43439499999999998</v>
      </c>
      <c r="M12" s="174">
        <f>C12*(108.34/1000)</f>
        <v>0.44419399999999998</v>
      </c>
    </row>
    <row r="13" spans="1:23" x14ac:dyDescent="0.35">
      <c r="A13" s="46" t="s">
        <v>17</v>
      </c>
      <c r="B13" s="7" t="s">
        <v>22</v>
      </c>
      <c r="C13" s="190"/>
      <c r="D13" s="190"/>
      <c r="E13" s="7" t="s">
        <v>19</v>
      </c>
      <c r="F13" s="10">
        <v>0</v>
      </c>
      <c r="G13" s="7">
        <f>C12*(37.45/1000)</f>
        <v>0.15354500000000001</v>
      </c>
      <c r="H13" s="7">
        <v>0</v>
      </c>
      <c r="I13" s="7">
        <v>0</v>
      </c>
      <c r="J13" s="7">
        <v>0</v>
      </c>
      <c r="K13" s="175"/>
      <c r="L13" s="181"/>
      <c r="M13" s="175"/>
    </row>
    <row r="14" spans="1:23" ht="15" thickBot="1" x14ac:dyDescent="0.4">
      <c r="A14" s="48" t="s">
        <v>18</v>
      </c>
      <c r="B14" s="20" t="s">
        <v>22</v>
      </c>
      <c r="C14" s="191"/>
      <c r="D14" s="191"/>
      <c r="E14" s="20" t="s">
        <v>19</v>
      </c>
      <c r="F14" s="20">
        <v>0</v>
      </c>
      <c r="G14" s="20">
        <v>0</v>
      </c>
      <c r="H14" s="20">
        <f>C12*(18.75/1000)</f>
        <v>7.6874999999999985E-2</v>
      </c>
      <c r="I14" s="20">
        <v>0</v>
      </c>
      <c r="J14" s="20">
        <v>0</v>
      </c>
      <c r="K14" s="176"/>
      <c r="L14" s="182"/>
      <c r="M14" s="176"/>
    </row>
    <row r="15" spans="1:23" x14ac:dyDescent="0.35">
      <c r="A15" s="11"/>
      <c r="C15" s="12"/>
      <c r="D15" s="12"/>
    </row>
    <row r="16" spans="1:23" ht="15" thickBot="1" x14ac:dyDescent="0.4">
      <c r="A16" s="172" t="s">
        <v>83</v>
      </c>
      <c r="B16" s="172"/>
      <c r="C16" s="172"/>
      <c r="D16" s="172"/>
      <c r="E16" s="172"/>
      <c r="F16" s="172"/>
      <c r="G16" s="49" t="s">
        <v>81</v>
      </c>
    </row>
    <row r="17" spans="1:7" x14ac:dyDescent="0.35">
      <c r="A17" s="149" t="s">
        <v>45</v>
      </c>
      <c r="B17" s="150">
        <v>0.7</v>
      </c>
      <c r="C17" s="150"/>
      <c r="D17" s="151"/>
      <c r="E17" s="85">
        <v>0.7</v>
      </c>
      <c r="F17" s="89" t="s">
        <v>35</v>
      </c>
      <c r="G17" s="50"/>
    </row>
    <row r="18" spans="1:7" x14ac:dyDescent="0.35">
      <c r="A18" s="146" t="s">
        <v>49</v>
      </c>
      <c r="B18" s="147"/>
      <c r="C18" s="147"/>
      <c r="D18" s="148"/>
      <c r="E18" s="86">
        <v>0.9</v>
      </c>
      <c r="F18" s="90" t="s">
        <v>33</v>
      </c>
      <c r="G18" s="51"/>
    </row>
    <row r="19" spans="1:7" x14ac:dyDescent="0.35">
      <c r="A19" s="152" t="s">
        <v>48</v>
      </c>
      <c r="B19" s="153"/>
      <c r="C19" s="153"/>
      <c r="D19" s="154"/>
      <c r="E19" s="86">
        <v>8000</v>
      </c>
      <c r="F19" s="90" t="s">
        <v>50</v>
      </c>
      <c r="G19" s="51"/>
    </row>
    <row r="20" spans="1:7" ht="15" customHeight="1" x14ac:dyDescent="0.35">
      <c r="A20" s="152" t="s">
        <v>75</v>
      </c>
      <c r="B20" s="153"/>
      <c r="C20" s="153"/>
      <c r="D20" s="154"/>
      <c r="E20" s="86">
        <v>3.55</v>
      </c>
      <c r="F20" s="90" t="s">
        <v>46</v>
      </c>
      <c r="G20" s="52" t="s">
        <v>82</v>
      </c>
    </row>
    <row r="21" spans="1:7" ht="29" x14ac:dyDescent="0.35">
      <c r="A21" s="152" t="s">
        <v>76</v>
      </c>
      <c r="B21" s="153"/>
      <c r="C21" s="153"/>
      <c r="D21" s="154"/>
      <c r="E21" s="86">
        <v>3.24</v>
      </c>
      <c r="F21" s="90" t="s">
        <v>46</v>
      </c>
      <c r="G21" s="52" t="s">
        <v>84</v>
      </c>
    </row>
    <row r="22" spans="1:7" ht="29" x14ac:dyDescent="0.35">
      <c r="A22" s="152" t="s">
        <v>77</v>
      </c>
      <c r="B22" s="153"/>
      <c r="C22" s="153"/>
      <c r="D22" s="154"/>
      <c r="E22" s="86">
        <v>3.24</v>
      </c>
      <c r="F22" s="90" t="s">
        <v>46</v>
      </c>
      <c r="G22" s="52" t="s">
        <v>85</v>
      </c>
    </row>
    <row r="23" spans="1:7" ht="29" x14ac:dyDescent="0.35">
      <c r="A23" s="152" t="s">
        <v>78</v>
      </c>
      <c r="B23" s="153"/>
      <c r="C23" s="153"/>
      <c r="D23" s="154"/>
      <c r="E23" s="86">
        <v>3.24</v>
      </c>
      <c r="F23" s="90" t="s">
        <v>46</v>
      </c>
      <c r="G23" s="52" t="s">
        <v>86</v>
      </c>
    </row>
    <row r="24" spans="1:7" ht="43.5" x14ac:dyDescent="0.35">
      <c r="A24" s="152" t="s">
        <v>79</v>
      </c>
      <c r="B24" s="153"/>
      <c r="C24" s="153"/>
      <c r="D24" s="154"/>
      <c r="E24" s="86">
        <v>3.24</v>
      </c>
      <c r="F24" s="90" t="s">
        <v>46</v>
      </c>
      <c r="G24" s="52" t="s">
        <v>87</v>
      </c>
    </row>
    <row r="25" spans="1:7" ht="29" x14ac:dyDescent="0.35">
      <c r="A25" s="152" t="s">
        <v>80</v>
      </c>
      <c r="B25" s="153"/>
      <c r="C25" s="153"/>
      <c r="D25" s="154"/>
      <c r="E25" s="86">
        <v>1.46</v>
      </c>
      <c r="F25" s="90" t="s">
        <v>46</v>
      </c>
      <c r="G25" s="52" t="s">
        <v>89</v>
      </c>
    </row>
    <row r="26" spans="1:7" ht="29" x14ac:dyDescent="0.35">
      <c r="A26" s="152" t="s">
        <v>193</v>
      </c>
      <c r="B26" s="153"/>
      <c r="C26" s="153"/>
      <c r="D26" s="154"/>
      <c r="E26" s="86">
        <v>1.46</v>
      </c>
      <c r="F26" s="90" t="s">
        <v>46</v>
      </c>
      <c r="G26" s="114" t="s">
        <v>90</v>
      </c>
    </row>
    <row r="27" spans="1:7" ht="29" x14ac:dyDescent="0.35">
      <c r="A27" s="152" t="s">
        <v>194</v>
      </c>
      <c r="B27" s="153"/>
      <c r="C27" s="153"/>
      <c r="D27" s="154"/>
      <c r="E27" s="86">
        <v>0</v>
      </c>
      <c r="F27" s="90" t="s">
        <v>46</v>
      </c>
      <c r="G27" s="52" t="s">
        <v>195</v>
      </c>
    </row>
    <row r="28" spans="1:7" ht="21.75" customHeight="1" x14ac:dyDescent="0.35">
      <c r="A28" s="152" t="s">
        <v>68</v>
      </c>
      <c r="B28" s="153"/>
      <c r="C28" s="153"/>
      <c r="D28" s="154"/>
      <c r="E28" s="86">
        <v>135.97</v>
      </c>
      <c r="F28" s="112" t="s">
        <v>47</v>
      </c>
      <c r="G28" s="161" t="s">
        <v>88</v>
      </c>
    </row>
    <row r="29" spans="1:7" ht="21" customHeight="1" x14ac:dyDescent="0.35">
      <c r="A29" s="152" t="s">
        <v>69</v>
      </c>
      <c r="B29" s="153"/>
      <c r="C29" s="153"/>
      <c r="D29" s="154"/>
      <c r="E29" s="86">
        <v>103.74</v>
      </c>
      <c r="F29" s="112" t="s">
        <v>47</v>
      </c>
      <c r="G29" s="162"/>
    </row>
    <row r="30" spans="1:7" x14ac:dyDescent="0.35">
      <c r="A30" s="152" t="s">
        <v>70</v>
      </c>
      <c r="B30" s="153"/>
      <c r="C30" s="153"/>
      <c r="D30" s="154"/>
      <c r="E30" s="86">
        <v>102.38</v>
      </c>
      <c r="F30" s="112" t="s">
        <v>47</v>
      </c>
      <c r="G30" s="162"/>
    </row>
    <row r="31" spans="1:7" x14ac:dyDescent="0.35">
      <c r="A31" s="152" t="s">
        <v>71</v>
      </c>
      <c r="B31" s="153"/>
      <c r="C31" s="153"/>
      <c r="D31" s="154"/>
      <c r="E31" s="86">
        <v>103.2</v>
      </c>
      <c r="F31" s="112" t="s">
        <v>47</v>
      </c>
      <c r="G31" s="162"/>
    </row>
    <row r="32" spans="1:7" x14ac:dyDescent="0.35">
      <c r="A32" s="152" t="s">
        <v>72</v>
      </c>
      <c r="B32" s="153"/>
      <c r="C32" s="153"/>
      <c r="D32" s="154"/>
      <c r="E32" s="86">
        <v>103.74</v>
      </c>
      <c r="F32" s="112" t="s">
        <v>47</v>
      </c>
      <c r="G32" s="162"/>
    </row>
    <row r="33" spans="1:7" x14ac:dyDescent="0.35">
      <c r="A33" s="152" t="s">
        <v>73</v>
      </c>
      <c r="B33" s="153"/>
      <c r="C33" s="153"/>
      <c r="D33" s="154"/>
      <c r="E33" s="86">
        <v>104.71</v>
      </c>
      <c r="F33" s="112" t="s">
        <v>47</v>
      </c>
      <c r="G33" s="162"/>
    </row>
    <row r="34" spans="1:7" x14ac:dyDescent="0.35">
      <c r="A34" s="152" t="s">
        <v>74</v>
      </c>
      <c r="B34" s="153"/>
      <c r="C34" s="153"/>
      <c r="D34" s="173"/>
      <c r="E34" s="86">
        <v>107.96</v>
      </c>
      <c r="F34" s="112" t="s">
        <v>47</v>
      </c>
      <c r="G34" s="162"/>
    </row>
    <row r="35" spans="1:7" ht="15" thickBot="1" x14ac:dyDescent="0.4">
      <c r="A35" s="158" t="s">
        <v>192</v>
      </c>
      <c r="B35" s="159"/>
      <c r="C35" s="159"/>
      <c r="D35" s="160"/>
      <c r="E35" s="111">
        <v>103.17</v>
      </c>
      <c r="F35" s="113" t="s">
        <v>47</v>
      </c>
      <c r="G35" s="163"/>
    </row>
    <row r="37" spans="1:7" ht="15" thickBot="1" x14ac:dyDescent="0.4">
      <c r="A37" s="171" t="s">
        <v>44</v>
      </c>
      <c r="B37" s="171"/>
      <c r="C37" s="171"/>
      <c r="D37" s="171"/>
      <c r="E37" s="171"/>
      <c r="F37" s="172"/>
      <c r="G37" s="171"/>
    </row>
    <row r="38" spans="1:7" x14ac:dyDescent="0.35">
      <c r="A38" s="149" t="s">
        <v>37</v>
      </c>
      <c r="B38" s="150"/>
      <c r="C38" s="150"/>
      <c r="D38" s="150"/>
      <c r="E38" s="151"/>
      <c r="F38" s="85">
        <v>0.3</v>
      </c>
      <c r="G38" s="81" t="s">
        <v>33</v>
      </c>
    </row>
    <row r="39" spans="1:7" x14ac:dyDescent="0.35">
      <c r="A39" s="152" t="s">
        <v>34</v>
      </c>
      <c r="B39" s="153"/>
      <c r="C39" s="153"/>
      <c r="D39" s="153"/>
      <c r="E39" s="154"/>
      <c r="F39" s="86">
        <v>2020</v>
      </c>
      <c r="G39" s="82" t="s">
        <v>35</v>
      </c>
    </row>
    <row r="40" spans="1:7" x14ac:dyDescent="0.35">
      <c r="A40" s="152" t="s">
        <v>38</v>
      </c>
      <c r="B40" s="153"/>
      <c r="C40" s="153"/>
      <c r="D40" s="153"/>
      <c r="E40" s="154"/>
      <c r="F40" s="86">
        <v>20</v>
      </c>
      <c r="G40" s="82" t="s">
        <v>36</v>
      </c>
    </row>
    <row r="41" spans="1:7" x14ac:dyDescent="0.35">
      <c r="A41" s="146" t="s">
        <v>169</v>
      </c>
      <c r="B41" s="147"/>
      <c r="C41" s="147"/>
      <c r="D41" s="147"/>
      <c r="E41" s="148"/>
      <c r="F41" s="86">
        <v>2</v>
      </c>
      <c r="G41" s="82" t="s">
        <v>51</v>
      </c>
    </row>
    <row r="42" spans="1:7" ht="16.5" customHeight="1" x14ac:dyDescent="0.35">
      <c r="A42" s="152" t="s">
        <v>53</v>
      </c>
      <c r="B42" s="153"/>
      <c r="C42" s="153"/>
      <c r="D42" s="153"/>
      <c r="E42" s="154"/>
      <c r="F42" s="86">
        <v>2177.5</v>
      </c>
      <c r="G42" s="82" t="s">
        <v>52</v>
      </c>
    </row>
    <row r="43" spans="1:7" ht="29" x14ac:dyDescent="0.35">
      <c r="A43" s="152" t="s">
        <v>54</v>
      </c>
      <c r="B43" s="153"/>
      <c r="C43" s="153"/>
      <c r="D43" s="153"/>
      <c r="E43" s="154"/>
      <c r="F43" s="86">
        <v>25</v>
      </c>
      <c r="G43" s="83" t="s">
        <v>56</v>
      </c>
    </row>
    <row r="44" spans="1:7" ht="29.5" thickBot="1" x14ac:dyDescent="0.4">
      <c r="A44" s="155" t="s">
        <v>55</v>
      </c>
      <c r="B44" s="156"/>
      <c r="C44" s="156"/>
      <c r="D44" s="156"/>
      <c r="E44" s="157"/>
      <c r="F44" s="87">
        <v>30</v>
      </c>
      <c r="G44" s="84" t="s">
        <v>57</v>
      </c>
    </row>
    <row r="46" spans="1:7" ht="15" thickBot="1" x14ac:dyDescent="0.4"/>
    <row r="47" spans="1:7" ht="30" customHeight="1" thickBot="1" x14ac:dyDescent="0.4">
      <c r="A47" s="78" t="s">
        <v>41</v>
      </c>
      <c r="B47" s="169"/>
      <c r="C47" s="169"/>
      <c r="D47" s="77"/>
    </row>
    <row r="48" spans="1:7" ht="15" thickBot="1" x14ac:dyDescent="0.4">
      <c r="A48" s="55" t="s">
        <v>125</v>
      </c>
      <c r="B48" s="170">
        <v>12.32</v>
      </c>
      <c r="C48" s="170" t="s">
        <v>33</v>
      </c>
      <c r="D48" s="56" t="s">
        <v>33</v>
      </c>
    </row>
    <row r="49" spans="1:5" ht="29.25" customHeight="1" thickBot="1" x14ac:dyDescent="0.4">
      <c r="A49" s="78" t="s">
        <v>60</v>
      </c>
      <c r="B49" s="79"/>
      <c r="C49" s="79"/>
      <c r="D49" s="79"/>
      <c r="E49" s="80"/>
    </row>
    <row r="50" spans="1:5" ht="72.5" x14ac:dyDescent="0.35">
      <c r="A50" s="57" t="s">
        <v>58</v>
      </c>
      <c r="B50" s="164" t="s">
        <v>62</v>
      </c>
      <c r="C50" s="164"/>
      <c r="D50" s="164"/>
      <c r="E50" s="53"/>
    </row>
    <row r="51" spans="1:5" ht="29" x14ac:dyDescent="0.35">
      <c r="A51" s="33" t="s">
        <v>61</v>
      </c>
      <c r="B51" s="164">
        <v>500</v>
      </c>
      <c r="C51" s="164"/>
      <c r="D51" s="164"/>
      <c r="E51" s="54"/>
    </row>
    <row r="52" spans="1:5" ht="18.75" customHeight="1" x14ac:dyDescent="0.35">
      <c r="A52" s="166" t="s">
        <v>63</v>
      </c>
      <c r="B52" s="164">
        <v>5</v>
      </c>
      <c r="C52" s="164"/>
      <c r="D52" s="164"/>
      <c r="E52" s="54" t="s">
        <v>64</v>
      </c>
    </row>
    <row r="53" spans="1:5" ht="21.75" customHeight="1" x14ac:dyDescent="0.35">
      <c r="A53" s="167"/>
      <c r="B53" s="164">
        <v>15</v>
      </c>
      <c r="C53" s="164"/>
      <c r="D53" s="164"/>
      <c r="E53" s="54" t="s">
        <v>65</v>
      </c>
    </row>
    <row r="54" spans="1:5" ht="16.5" customHeight="1" x14ac:dyDescent="0.35">
      <c r="A54" s="168"/>
      <c r="B54" s="164">
        <v>5</v>
      </c>
      <c r="C54" s="164"/>
      <c r="D54" s="164"/>
      <c r="E54" s="54" t="s">
        <v>66</v>
      </c>
    </row>
    <row r="55" spans="1:5" ht="15" thickBot="1" x14ac:dyDescent="0.4">
      <c r="A55" s="58" t="s">
        <v>59</v>
      </c>
      <c r="B55" s="165" t="s">
        <v>62</v>
      </c>
      <c r="C55" s="165"/>
      <c r="D55" s="165"/>
      <c r="E55" s="59"/>
    </row>
  </sheetData>
  <protectedRanges>
    <protectedRange sqref="A12:A16" name="others items_2"/>
  </protectedRanges>
  <mergeCells count="48">
    <mergeCell ref="M12:M14"/>
    <mergeCell ref="A1:W1"/>
    <mergeCell ref="N2:W2"/>
    <mergeCell ref="K12:K14"/>
    <mergeCell ref="L12:L14"/>
    <mergeCell ref="N4:N5"/>
    <mergeCell ref="N3:O3"/>
    <mergeCell ref="B2:C2"/>
    <mergeCell ref="C12:C14"/>
    <mergeCell ref="D12:D14"/>
    <mergeCell ref="A18:D18"/>
    <mergeCell ref="A16:F16"/>
    <mergeCell ref="A20:D20"/>
    <mergeCell ref="A28:D28"/>
    <mergeCell ref="A19:D19"/>
    <mergeCell ref="A17:D17"/>
    <mergeCell ref="A22:D22"/>
    <mergeCell ref="A23:D23"/>
    <mergeCell ref="A24:D24"/>
    <mergeCell ref="A25:D25"/>
    <mergeCell ref="A26:D26"/>
    <mergeCell ref="G28:G35"/>
    <mergeCell ref="A27:D27"/>
    <mergeCell ref="B50:D50"/>
    <mergeCell ref="B55:D55"/>
    <mergeCell ref="B51:D51"/>
    <mergeCell ref="B52:D52"/>
    <mergeCell ref="A52:A54"/>
    <mergeCell ref="B53:D53"/>
    <mergeCell ref="B54:D54"/>
    <mergeCell ref="B47:C47"/>
    <mergeCell ref="B48:C48"/>
    <mergeCell ref="A37:G37"/>
    <mergeCell ref="A34:D34"/>
    <mergeCell ref="A43:E43"/>
    <mergeCell ref="A39:E39"/>
    <mergeCell ref="A42:E42"/>
    <mergeCell ref="A41:E41"/>
    <mergeCell ref="A38:E38"/>
    <mergeCell ref="A40:E40"/>
    <mergeCell ref="A44:E44"/>
    <mergeCell ref="A21:D21"/>
    <mergeCell ref="A32:D32"/>
    <mergeCell ref="A29:D29"/>
    <mergeCell ref="A30:D30"/>
    <mergeCell ref="A35:D35"/>
    <mergeCell ref="A31:D31"/>
    <mergeCell ref="A33:D33"/>
  </mergeCells>
  <dataValidations disablePrompts="1" count="1">
    <dataValidation type="list" allowBlank="1" showInputMessage="1" showErrorMessage="1" sqref="F40:F45" xr:uid="{00000000-0002-0000-0100-000000000000}">
      <formula1>Number_of_years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9"/>
  <sheetViews>
    <sheetView tabSelected="1" zoomScale="90" zoomScaleNormal="90" workbookViewId="0">
      <selection activeCell="U17" sqref="U17"/>
    </sheetView>
  </sheetViews>
  <sheetFormatPr defaultRowHeight="14.5" x14ac:dyDescent="0.35"/>
  <cols>
    <col min="2" max="2" width="16.08984375" customWidth="1"/>
    <col min="3" max="3" width="60.26953125" customWidth="1"/>
    <col min="4" max="4" width="21.36328125" customWidth="1"/>
    <col min="5" max="5" width="23.36328125" customWidth="1"/>
    <col min="6" max="6" width="21.7265625" customWidth="1"/>
    <col min="7" max="7" width="20" customWidth="1"/>
    <col min="8" max="8" width="23.26953125" customWidth="1"/>
    <col min="9" max="9" width="24.36328125" customWidth="1"/>
    <col min="10" max="10" width="19.26953125" customWidth="1"/>
    <col min="11" max="11" width="20.36328125" customWidth="1"/>
    <col min="12" max="12" width="26.08984375" customWidth="1"/>
    <col min="13" max="13" width="46.26953125" customWidth="1"/>
    <col min="14" max="14" width="19" customWidth="1"/>
    <col min="15" max="15" width="17.08984375" customWidth="1"/>
    <col min="16" max="16" width="15.26953125" customWidth="1"/>
    <col min="17" max="17" width="14.7265625" customWidth="1"/>
    <col min="18" max="18" width="17.81640625" customWidth="1"/>
    <col min="19" max="19" width="15.36328125" customWidth="1"/>
    <col min="20" max="20" width="15.7265625" customWidth="1"/>
    <col min="21" max="21" width="16.6328125" customWidth="1"/>
    <col min="22" max="23" width="13.08984375" customWidth="1"/>
    <col min="24" max="24" width="12.81640625" customWidth="1"/>
    <col min="25" max="26" width="13.36328125" customWidth="1"/>
    <col min="27" max="27" width="12.36328125" customWidth="1"/>
    <col min="28" max="28" width="19.6328125" customWidth="1"/>
    <col min="29" max="29" width="15.6328125" customWidth="1"/>
  </cols>
  <sheetData>
    <row r="1" spans="1:29" ht="21.5" thickBot="1" x14ac:dyDescent="0.55000000000000004">
      <c r="A1" s="205"/>
      <c r="B1" s="230" t="s">
        <v>92</v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</row>
    <row r="2" spans="1:29" ht="29.5" thickBot="1" x14ac:dyDescent="0.55000000000000004">
      <c r="A2" s="206"/>
      <c r="B2" s="232" t="s">
        <v>94</v>
      </c>
      <c r="C2" s="233"/>
      <c r="D2" s="233"/>
      <c r="E2" s="65" t="s">
        <v>25</v>
      </c>
      <c r="F2" s="64" t="s">
        <v>26</v>
      </c>
      <c r="G2" s="24" t="s">
        <v>27</v>
      </c>
      <c r="H2" s="23" t="s">
        <v>28</v>
      </c>
      <c r="I2" s="23" t="s">
        <v>29</v>
      </c>
      <c r="J2" s="23" t="s">
        <v>30</v>
      </c>
      <c r="K2" s="25" t="s">
        <v>31</v>
      </c>
      <c r="L2" s="25" t="s">
        <v>191</v>
      </c>
      <c r="M2" s="18" t="s">
        <v>144</v>
      </c>
      <c r="N2" s="227" t="s">
        <v>25</v>
      </c>
      <c r="O2" s="227"/>
      <c r="P2" s="225" t="s">
        <v>26</v>
      </c>
      <c r="Q2" s="226"/>
      <c r="R2" s="225" t="s">
        <v>27</v>
      </c>
      <c r="S2" s="226"/>
      <c r="T2" s="225" t="s">
        <v>28</v>
      </c>
      <c r="U2" s="226"/>
      <c r="V2" s="225" t="s">
        <v>29</v>
      </c>
      <c r="W2" s="234"/>
      <c r="X2" s="225" t="s">
        <v>30</v>
      </c>
      <c r="Y2" s="234"/>
      <c r="Z2" s="225" t="s">
        <v>31</v>
      </c>
      <c r="AA2" s="229"/>
      <c r="AB2" s="225" t="s">
        <v>197</v>
      </c>
      <c r="AC2" s="229"/>
    </row>
    <row r="3" spans="1:29" ht="24" customHeight="1" x14ac:dyDescent="0.35">
      <c r="A3" s="206"/>
      <c r="B3" s="203" t="s">
        <v>93</v>
      </c>
      <c r="C3" s="16" t="s">
        <v>96</v>
      </c>
      <c r="D3" s="7" t="s">
        <v>95</v>
      </c>
      <c r="E3" s="26">
        <v>3562</v>
      </c>
      <c r="F3" s="7">
        <v>3562</v>
      </c>
      <c r="G3" s="7">
        <v>3562</v>
      </c>
      <c r="H3" s="7">
        <v>3562</v>
      </c>
      <c r="I3" s="7">
        <v>3562</v>
      </c>
      <c r="J3" s="7">
        <v>3562</v>
      </c>
      <c r="K3" s="7">
        <v>3562</v>
      </c>
      <c r="L3" s="7">
        <v>3562</v>
      </c>
      <c r="M3" s="228" t="s">
        <v>148</v>
      </c>
      <c r="N3" s="224" t="s">
        <v>178</v>
      </c>
      <c r="O3" s="224" t="s">
        <v>177</v>
      </c>
      <c r="P3" s="224" t="s">
        <v>178</v>
      </c>
      <c r="Q3" s="224" t="s">
        <v>147</v>
      </c>
      <c r="R3" s="224" t="s">
        <v>178</v>
      </c>
      <c r="S3" s="224" t="s">
        <v>147</v>
      </c>
      <c r="T3" s="224" t="s">
        <v>178</v>
      </c>
      <c r="U3" s="224" t="s">
        <v>147</v>
      </c>
      <c r="V3" s="224" t="s">
        <v>146</v>
      </c>
      <c r="W3" s="224" t="s">
        <v>147</v>
      </c>
      <c r="X3" s="224" t="s">
        <v>146</v>
      </c>
      <c r="Y3" s="224" t="s">
        <v>147</v>
      </c>
      <c r="Z3" s="224" t="s">
        <v>146</v>
      </c>
      <c r="AA3" s="224" t="s">
        <v>147</v>
      </c>
      <c r="AB3" s="224" t="s">
        <v>196</v>
      </c>
      <c r="AC3" s="224" t="s">
        <v>147</v>
      </c>
    </row>
    <row r="4" spans="1:29" ht="29.25" customHeight="1" x14ac:dyDescent="0.35">
      <c r="A4" s="206"/>
      <c r="B4" s="204"/>
      <c r="C4" s="16" t="s">
        <v>152</v>
      </c>
      <c r="D4" s="7" t="s">
        <v>153</v>
      </c>
      <c r="E4" s="7">
        <v>1.42</v>
      </c>
      <c r="F4" s="7">
        <v>1.42</v>
      </c>
      <c r="G4" s="7">
        <v>1.42</v>
      </c>
      <c r="H4" s="7">
        <v>1.42</v>
      </c>
      <c r="I4" s="7">
        <v>1.42</v>
      </c>
      <c r="J4" s="7">
        <v>1.42</v>
      </c>
      <c r="K4" s="7">
        <v>1.42</v>
      </c>
      <c r="L4" s="7">
        <v>1.42</v>
      </c>
      <c r="M4" s="228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</row>
    <row r="5" spans="1:29" ht="31.5" customHeight="1" thickBot="1" x14ac:dyDescent="0.4">
      <c r="A5" s="206"/>
      <c r="B5" s="212"/>
      <c r="C5" s="16" t="s">
        <v>97</v>
      </c>
      <c r="D5" s="7" t="s">
        <v>176</v>
      </c>
      <c r="E5" s="7">
        <v>5089</v>
      </c>
      <c r="F5" s="7">
        <v>5089</v>
      </c>
      <c r="G5" s="7">
        <v>5089</v>
      </c>
      <c r="H5" s="7">
        <v>5089</v>
      </c>
      <c r="I5" s="7">
        <v>5089</v>
      </c>
      <c r="J5" s="7">
        <v>5089</v>
      </c>
      <c r="K5" s="7">
        <v>5089</v>
      </c>
      <c r="L5" s="7">
        <v>5089</v>
      </c>
      <c r="M5" s="63" t="s">
        <v>139</v>
      </c>
      <c r="N5" s="10">
        <f>(E$28*1000000/(0.9*365*$E$3))</f>
        <v>44.963425637088513</v>
      </c>
      <c r="O5" s="10">
        <f>(E$28*1000000/(0.9*365*E5))</f>
        <v>31.471747321538473</v>
      </c>
      <c r="P5" s="10">
        <f>(F28*1000000/(0.9*365*$E$3))</f>
        <v>53.600189847204263</v>
      </c>
      <c r="Q5" s="10">
        <f>(F28*1000000/(0.9*365*E5))</f>
        <v>37.51697312551417</v>
      </c>
      <c r="R5" s="10">
        <f>(G28*1000000/(0.9*365*$E$3))</f>
        <v>52.360986654559326</v>
      </c>
      <c r="S5" s="10">
        <f>(G28*1000000/(0.9*365*E5))</f>
        <v>36.649603942531016</v>
      </c>
      <c r="T5" s="10">
        <f>(H28*1000000/(0.9*365*$E$3))</f>
        <v>53.383659989437518</v>
      </c>
      <c r="U5" s="10">
        <f>(H28*1000000/(0.9*365*E5))</f>
        <v>37.365414989659349</v>
      </c>
      <c r="V5" s="10">
        <f>(I28*1000000/(0.9*365*$E$3))</f>
        <v>53.383659989437518</v>
      </c>
      <c r="W5" s="10">
        <f>(I28*1000000/(0.9*365*F5))</f>
        <v>37.365414989659349</v>
      </c>
      <c r="X5" s="10">
        <f>(J28*1000000/(0.9*365*$E$3))</f>
        <v>56.357629223319563</v>
      </c>
      <c r="Y5" s="10">
        <f>(J28*1000000/(0.9*365*F5))</f>
        <v>39.447018135874295</v>
      </c>
      <c r="Z5" s="10">
        <f>(K28*1000000/(0.9*365*$E$3))</f>
        <v>56.357629223319563</v>
      </c>
      <c r="AA5" s="115">
        <f>(K28*1000000/(0.9*365*E5))</f>
        <v>39.447018135874295</v>
      </c>
      <c r="AB5" s="7">
        <f>(L28*1000000/(0.9*365*$E$3))</f>
        <v>52.165940308673392</v>
      </c>
      <c r="AC5" s="7">
        <f>(L28*1000000/(0.9*365*E5))</f>
        <v>36.513082998525178</v>
      </c>
    </row>
    <row r="6" spans="1:29" ht="42" customHeight="1" x14ac:dyDescent="0.35">
      <c r="A6" s="206"/>
      <c r="B6" s="203" t="s">
        <v>98</v>
      </c>
      <c r="C6" s="208" t="s">
        <v>206</v>
      </c>
      <c r="D6" s="210" t="s">
        <v>154</v>
      </c>
      <c r="E6" s="192">
        <v>636.84</v>
      </c>
      <c r="F6" s="192">
        <v>589.49</v>
      </c>
      <c r="G6" s="192">
        <v>596.96</v>
      </c>
      <c r="H6" s="192">
        <v>569.39</v>
      </c>
      <c r="I6" s="192">
        <v>569.4</v>
      </c>
      <c r="J6" s="192">
        <v>509.53</v>
      </c>
      <c r="K6" s="192">
        <v>510.63</v>
      </c>
      <c r="L6" s="192">
        <v>381.41</v>
      </c>
      <c r="M6" s="63" t="s">
        <v>145</v>
      </c>
      <c r="N6" s="10">
        <f>(E51*1000000/(0.9*365*$E$3))</f>
        <v>83.727838570350059</v>
      </c>
      <c r="O6" s="10">
        <f>(E51*1000000/(0.9*365*E5))</f>
        <v>58.604551186399469</v>
      </c>
      <c r="P6" s="10">
        <f>(F51*1000000/(0.9*365*$E$3))</f>
        <v>93.49946056566678</v>
      </c>
      <c r="Q6" s="10">
        <f>(F51*1000000/(0.9*365*E5))</f>
        <v>65.444110539380048</v>
      </c>
      <c r="R6" s="10">
        <f>(G51*1000000/(0.9*365*$E$3))</f>
        <v>84.4354619547711</v>
      </c>
      <c r="S6" s="10">
        <f>G51*1000000/(0.9*365*E5)</f>
        <v>59.09984584061597</v>
      </c>
      <c r="T6" s="10">
        <f>(H51*1000000/(0.9*365*$E$3))</f>
        <v>87.2120093967918</v>
      </c>
      <c r="U6" s="10">
        <f>(H51*1000000/(0.9*365*E5))</f>
        <v>61.043265370676444</v>
      </c>
      <c r="V6" s="10">
        <f>(I51*1000000/(0.9*365*$E$3))</f>
        <v>87.324272396791798</v>
      </c>
      <c r="W6" s="10">
        <f>(I51*1000000/(0.9*365*F5))</f>
        <v>61.121842852696481</v>
      </c>
      <c r="X6" s="10">
        <f>(J51*1000000/(0.9*365*$E$3))</f>
        <v>78.789079641730083</v>
      </c>
      <c r="Y6" s="10">
        <f>(J51*1000000/(0.9*365*F5))</f>
        <v>55.147711079552479</v>
      </c>
      <c r="Z6" s="10">
        <f>(K51*1000000/(0.9*365*$E$3))</f>
        <v>79.050374641730087</v>
      </c>
      <c r="AA6" s="115">
        <f>(K51*1000000/(0.9*365*E5))</f>
        <v>55.330602176035086</v>
      </c>
      <c r="AB6" s="7">
        <f>(L51*1000000/(0.9*365*$E$3))</f>
        <v>51.247336426991062</v>
      </c>
      <c r="AC6" s="7">
        <f>(L51*1000000/(0.9*365*E5))</f>
        <v>35.870114433669123</v>
      </c>
    </row>
    <row r="7" spans="1:29" ht="48" customHeight="1" thickBot="1" x14ac:dyDescent="0.4">
      <c r="A7" s="206"/>
      <c r="B7" s="204"/>
      <c r="C7" s="208"/>
      <c r="D7" s="210"/>
      <c r="E7" s="193"/>
      <c r="F7" s="193"/>
      <c r="G7" s="193"/>
      <c r="H7" s="193"/>
      <c r="I7" s="193"/>
      <c r="J7" s="193"/>
      <c r="K7" s="193"/>
      <c r="L7" s="193"/>
      <c r="M7" s="61" t="s">
        <v>149</v>
      </c>
      <c r="N7" s="98">
        <f t="shared" ref="N7:AA7" si="0">SUM(N5:N6)</f>
        <v>128.69126420743856</v>
      </c>
      <c r="O7" s="98">
        <f t="shared" si="0"/>
        <v>90.076298507937935</v>
      </c>
      <c r="P7" s="98">
        <f t="shared" si="0"/>
        <v>147.09965041287103</v>
      </c>
      <c r="Q7" s="98">
        <f t="shared" si="0"/>
        <v>102.96108366489422</v>
      </c>
      <c r="R7" s="98">
        <f t="shared" si="0"/>
        <v>136.79644860933041</v>
      </c>
      <c r="S7" s="98">
        <f t="shared" si="0"/>
        <v>95.749449783146986</v>
      </c>
      <c r="T7" s="98">
        <f t="shared" si="0"/>
        <v>140.5956693862293</v>
      </c>
      <c r="U7" s="98">
        <f t="shared" si="0"/>
        <v>98.408680360335794</v>
      </c>
      <c r="V7" s="98">
        <f t="shared" si="0"/>
        <v>140.70793238622932</v>
      </c>
      <c r="W7" s="98">
        <f t="shared" si="0"/>
        <v>98.487257842355831</v>
      </c>
      <c r="X7" s="98">
        <f t="shared" si="0"/>
        <v>135.14670886504965</v>
      </c>
      <c r="Y7" s="98">
        <f t="shared" si="0"/>
        <v>94.594729215426781</v>
      </c>
      <c r="Z7" s="98">
        <f t="shared" si="0"/>
        <v>135.40800386504964</v>
      </c>
      <c r="AA7" s="123">
        <f t="shared" si="0"/>
        <v>94.777620311909374</v>
      </c>
      <c r="AB7" s="98">
        <f>SUM(AB5:AB6)</f>
        <v>103.41327673566445</v>
      </c>
      <c r="AC7" s="98">
        <f>SUM(AC5:AC6)</f>
        <v>72.383197432194294</v>
      </c>
    </row>
    <row r="8" spans="1:29" ht="77.25" customHeight="1" thickBot="1" x14ac:dyDescent="0.4">
      <c r="A8" s="207"/>
      <c r="B8" s="204"/>
      <c r="C8" s="209"/>
      <c r="D8" s="211"/>
      <c r="E8" s="193"/>
      <c r="F8" s="193"/>
      <c r="G8" s="193"/>
      <c r="H8" s="193"/>
      <c r="I8" s="193"/>
      <c r="J8" s="193"/>
      <c r="K8" s="193"/>
      <c r="L8" s="193"/>
      <c r="O8">
        <f>O7*E53</f>
        <v>150583836.00061542</v>
      </c>
    </row>
    <row r="9" spans="1:29" ht="29.5" thickBot="1" x14ac:dyDescent="0.55000000000000004">
      <c r="A9" s="13"/>
      <c r="B9" s="200" t="s">
        <v>99</v>
      </c>
      <c r="C9" s="201"/>
      <c r="D9" s="201"/>
      <c r="E9" s="201"/>
      <c r="F9" s="201"/>
      <c r="G9" s="201"/>
      <c r="H9" s="201"/>
      <c r="I9" s="201"/>
      <c r="J9" s="201"/>
      <c r="K9" s="201"/>
      <c r="L9" s="202"/>
      <c r="M9" s="129" t="s">
        <v>150</v>
      </c>
      <c r="N9" s="22" t="s">
        <v>25</v>
      </c>
      <c r="O9" s="23" t="s">
        <v>26</v>
      </c>
      <c r="P9" s="24" t="s">
        <v>27</v>
      </c>
      <c r="Q9" s="23" t="s">
        <v>28</v>
      </c>
      <c r="R9" s="23" t="s">
        <v>29</v>
      </c>
      <c r="S9" s="23" t="s">
        <v>30</v>
      </c>
      <c r="T9" s="25" t="s">
        <v>31</v>
      </c>
      <c r="U9" s="25" t="s">
        <v>197</v>
      </c>
    </row>
    <row r="10" spans="1:29" ht="29.5" thickBot="1" x14ac:dyDescent="0.4">
      <c r="A10" s="13"/>
      <c r="B10" s="215" t="s">
        <v>100</v>
      </c>
      <c r="C10" s="130" t="s">
        <v>157</v>
      </c>
      <c r="D10" s="26" t="s">
        <v>101</v>
      </c>
      <c r="E10" s="26">
        <v>245</v>
      </c>
      <c r="F10" s="26">
        <v>245</v>
      </c>
      <c r="G10" s="26">
        <v>245</v>
      </c>
      <c r="H10" s="26">
        <v>245</v>
      </c>
      <c r="I10" s="26">
        <v>245</v>
      </c>
      <c r="J10" s="26">
        <v>245</v>
      </c>
      <c r="K10" s="26">
        <v>245</v>
      </c>
      <c r="L10" s="117">
        <v>245</v>
      </c>
      <c r="M10" s="67" t="s">
        <v>151</v>
      </c>
      <c r="N10" s="68" t="s">
        <v>186</v>
      </c>
      <c r="O10" s="99">
        <f>(Q7-$O$7)/(($E$6/1000)-(F6/1000))</f>
        <v>272.11795474036438</v>
      </c>
      <c r="P10" s="99">
        <f>(S7-$O$7)/(($E$6/1000)-(G6/1000))</f>
        <v>142.25554852580359</v>
      </c>
      <c r="Q10" s="99">
        <f>(U7-$O$7)/(($E$6/1000)-(H6/1000))</f>
        <v>123.53420092509776</v>
      </c>
      <c r="R10" s="99">
        <f>(W7-$O$7)/(($E$6/1000)-(I6/1000))</f>
        <v>124.71766510109563</v>
      </c>
      <c r="S10" s="99">
        <f>(Y7-$O$7)/(($E$6/1000)-(J6/1000))</f>
        <v>35.491561601514739</v>
      </c>
      <c r="T10" s="99">
        <f>(AA7-$O$7)/(($E$6/1000)-(K6/1000))</f>
        <v>37.249994485155199</v>
      </c>
      <c r="U10" s="99">
        <f>(AC7-$O$7)/(($E$6/1000)-(L6/1000))</f>
        <v>-69.267905397735731</v>
      </c>
    </row>
    <row r="11" spans="1:29" ht="29" x14ac:dyDescent="0.35">
      <c r="A11" s="13"/>
      <c r="B11" s="216"/>
      <c r="C11" s="16" t="s">
        <v>109</v>
      </c>
      <c r="D11" s="7" t="s">
        <v>101</v>
      </c>
      <c r="E11" s="88"/>
      <c r="F11" s="10">
        <f>((10*(POWER(D58,E58)))*F58)*(1+0%)</f>
        <v>7.3291190270652464</v>
      </c>
      <c r="G11" s="76"/>
      <c r="H11" s="76"/>
      <c r="I11" s="76"/>
      <c r="J11" s="76"/>
      <c r="K11" s="51"/>
      <c r="L11" s="51"/>
      <c r="M11" s="69" t="s">
        <v>199</v>
      </c>
      <c r="N11" s="28" t="s">
        <v>186</v>
      </c>
      <c r="O11" s="102">
        <f>(($E$6-$F6)/1000)*(0.9*365*$F$5)</f>
        <v>79156.72327500004</v>
      </c>
      <c r="P11" s="102">
        <f t="shared" ref="P11:U11" si="1">(($E$6-G6)/1000)*(0.9*365*$F$5)</f>
        <v>66668.851620000001</v>
      </c>
      <c r="Q11" s="102">
        <f t="shared" si="1"/>
        <v>112758.62692500009</v>
      </c>
      <c r="R11" s="102">
        <f t="shared" si="1"/>
        <v>112741.90956000009</v>
      </c>
      <c r="S11" s="102">
        <f t="shared" si="1"/>
        <v>212828.77381500011</v>
      </c>
      <c r="T11" s="102">
        <f t="shared" si="1"/>
        <v>210989.86366500007</v>
      </c>
      <c r="U11" s="102">
        <f t="shared" si="1"/>
        <v>427011.65419500001</v>
      </c>
    </row>
    <row r="12" spans="1:29" ht="30.75" customHeight="1" x14ac:dyDescent="0.35">
      <c r="A12" s="13"/>
      <c r="B12" s="216"/>
      <c r="C12" s="16" t="s">
        <v>110</v>
      </c>
      <c r="D12" s="7" t="s">
        <v>101</v>
      </c>
      <c r="E12" s="76"/>
      <c r="F12" s="76"/>
      <c r="G12" s="10">
        <f>(1.13*(POWER(D59,E59))*F59)*(1+0%)</f>
        <v>1.1864999999999999</v>
      </c>
      <c r="H12" s="76"/>
      <c r="I12" s="76"/>
      <c r="J12" s="76"/>
      <c r="K12" s="51"/>
      <c r="L12" s="51"/>
      <c r="M12" s="70" t="s">
        <v>198</v>
      </c>
      <c r="N12" s="7" t="s">
        <v>186</v>
      </c>
      <c r="O12" s="102">
        <f>10*O$11</f>
        <v>791567.23275000043</v>
      </c>
      <c r="P12" s="102">
        <f t="shared" ref="P12:T12" si="2">10*P$11</f>
        <v>666688.51619999995</v>
      </c>
      <c r="Q12" s="102">
        <f t="shared" si="2"/>
        <v>1127586.2692500008</v>
      </c>
      <c r="R12" s="102">
        <f t="shared" si="2"/>
        <v>1127419.0956000008</v>
      </c>
      <c r="S12" s="102">
        <f t="shared" si="2"/>
        <v>2128287.738150001</v>
      </c>
      <c r="T12" s="102">
        <f t="shared" si="2"/>
        <v>2109898.6366500007</v>
      </c>
      <c r="U12" s="124">
        <f>U11*10</f>
        <v>4270116.5419500005</v>
      </c>
    </row>
    <row r="13" spans="1:29" ht="43.5" x14ac:dyDescent="0.35">
      <c r="A13" s="13"/>
      <c r="B13" s="216"/>
      <c r="C13" s="17" t="s">
        <v>111</v>
      </c>
      <c r="D13" s="7" t="s">
        <v>142</v>
      </c>
      <c r="E13" s="76"/>
      <c r="F13" s="76"/>
      <c r="G13" s="7"/>
      <c r="H13" s="10">
        <f>(7.55*(POWER(D60,E60))*F60)*(1+0%)</f>
        <v>9.3603338314072104</v>
      </c>
      <c r="I13" s="10">
        <f>(7.55*(POWER(D60,E60))*F60)*(1+0%)</f>
        <v>9.3603338314072104</v>
      </c>
      <c r="J13" s="10">
        <f>SUM(F11,G12,H13)</f>
        <v>17.875952858472459</v>
      </c>
      <c r="K13" s="10">
        <f>SUM(F11,G12,I13)</f>
        <v>17.875952858472459</v>
      </c>
      <c r="L13" s="10">
        <f>(7.55*(POWER(D60,E60))*F60)*(1+0%)</f>
        <v>9.3603338314072104</v>
      </c>
      <c r="M13" s="105" t="s">
        <v>187</v>
      </c>
      <c r="N13" s="106" t="s">
        <v>186</v>
      </c>
      <c r="O13" s="107">
        <f t="shared" ref="O13:U13" si="3">O$12/9200000</f>
        <v>8.6039916603260921E-2</v>
      </c>
      <c r="P13" s="107">
        <f t="shared" si="3"/>
        <v>7.2466143065217384E-2</v>
      </c>
      <c r="Q13" s="107">
        <f t="shared" si="3"/>
        <v>0.12256372491847835</v>
      </c>
      <c r="R13" s="107">
        <f t="shared" si="3"/>
        <v>0.12254555386956531</v>
      </c>
      <c r="S13" s="107">
        <f t="shared" si="3"/>
        <v>0.23133562371195662</v>
      </c>
      <c r="T13" s="107">
        <f t="shared" si="3"/>
        <v>0.22933680833152181</v>
      </c>
      <c r="U13" s="107">
        <f t="shared" si="3"/>
        <v>0.46414310238586959</v>
      </c>
    </row>
    <row r="14" spans="1:29" ht="29" x14ac:dyDescent="0.35">
      <c r="A14" s="13"/>
      <c r="B14" s="216"/>
      <c r="C14" s="17" t="s">
        <v>112</v>
      </c>
      <c r="D14" s="7" t="s">
        <v>142</v>
      </c>
      <c r="E14" s="76"/>
      <c r="F14" s="10">
        <f>(2.96*F61)</f>
        <v>3.1080000000000001</v>
      </c>
      <c r="G14" s="10">
        <f>2.96*F61</f>
        <v>3.1080000000000001</v>
      </c>
      <c r="H14" s="7"/>
      <c r="I14" s="7"/>
      <c r="J14" s="10">
        <f>G14*2</f>
        <v>6.2160000000000002</v>
      </c>
      <c r="K14" s="10">
        <f>G14*2</f>
        <v>6.2160000000000002</v>
      </c>
      <c r="L14" s="10">
        <f>H14*2</f>
        <v>0</v>
      </c>
      <c r="M14" s="198" t="s">
        <v>190</v>
      </c>
      <c r="N14" s="199"/>
      <c r="O14" s="109">
        <f xml:space="preserve"> ((F6/1000)*(0.9*365*F5))*10</f>
        <v>9854719.4938500002</v>
      </c>
      <c r="P14" s="109">
        <f t="shared" ref="P14:S14" si="4" xml:space="preserve"> ((G6/1000)*(0.9*365*G5))*10</f>
        <v>9979598.2104000002</v>
      </c>
      <c r="Q14" s="109">
        <f t="shared" si="4"/>
        <v>9518700.4573499989</v>
      </c>
      <c r="R14" s="109">
        <f t="shared" si="4"/>
        <v>9518867.6309999991</v>
      </c>
      <c r="S14" s="109">
        <f t="shared" si="4"/>
        <v>8517998.9884499982</v>
      </c>
      <c r="T14" s="109">
        <f xml:space="preserve"> ((K6/1000)*(0.9*365*K5))*10</f>
        <v>8536388.0899500009</v>
      </c>
      <c r="U14" s="109">
        <f xml:space="preserve"> ((L6/1000)*(0.9*365*L5))*10</f>
        <v>6376170.1846500011</v>
      </c>
    </row>
    <row r="15" spans="1:29" ht="29" x14ac:dyDescent="0.35">
      <c r="A15" s="13"/>
      <c r="B15" s="216"/>
      <c r="C15" s="17" t="s">
        <v>114</v>
      </c>
      <c r="D15" s="7" t="s">
        <v>142</v>
      </c>
      <c r="E15" s="76"/>
      <c r="F15" s="10">
        <f>(6.5*$F$62)</f>
        <v>6.8250000000000002</v>
      </c>
      <c r="G15" s="10">
        <f t="shared" ref="G15:L15" si="5">6.5*$F$62</f>
        <v>6.8250000000000002</v>
      </c>
      <c r="H15" s="10">
        <f t="shared" si="5"/>
        <v>6.8250000000000002</v>
      </c>
      <c r="I15" s="10">
        <f t="shared" si="5"/>
        <v>6.8250000000000002</v>
      </c>
      <c r="J15" s="10">
        <f t="shared" si="5"/>
        <v>6.8250000000000002</v>
      </c>
      <c r="K15" s="10">
        <f t="shared" si="5"/>
        <v>6.8250000000000002</v>
      </c>
      <c r="L15" s="10">
        <f t="shared" si="5"/>
        <v>6.8250000000000002</v>
      </c>
      <c r="M15" s="196" t="s">
        <v>25</v>
      </c>
      <c r="N15" s="197"/>
      <c r="O15" s="110">
        <f>(N17-O14)/N17</f>
        <v>7.435148545945626E-2</v>
      </c>
      <c r="P15" s="110">
        <f>(N17-P14)/N17</f>
        <v>6.2621694617172485E-2</v>
      </c>
      <c r="Q15" s="110">
        <f>(N17-Q14)/N17</f>
        <v>0.10591357326801112</v>
      </c>
      <c r="R15" s="110">
        <f>(N17-R14)/N17</f>
        <v>0.10589787073676306</v>
      </c>
      <c r="S15" s="110">
        <f>(N17-S14)/N17</f>
        <v>0.19990892531876175</v>
      </c>
      <c r="T15" s="110">
        <f>(N17-T14)/N17</f>
        <v>0.19818164688147741</v>
      </c>
      <c r="U15" s="110">
        <f>(N17-U14)/N17</f>
        <v>0.40108975566861382</v>
      </c>
    </row>
    <row r="16" spans="1:29" ht="29" x14ac:dyDescent="0.35">
      <c r="A16" s="13"/>
      <c r="B16" s="216"/>
      <c r="C16" s="17" t="s">
        <v>155</v>
      </c>
      <c r="D16" s="7" t="s">
        <v>142</v>
      </c>
      <c r="E16" s="76"/>
      <c r="F16" s="10">
        <f>(0.3*$F$62)</f>
        <v>0.315</v>
      </c>
      <c r="G16" s="10">
        <f t="shared" ref="G16:L16" si="6">0.3*$F$62</f>
        <v>0.315</v>
      </c>
      <c r="H16" s="10">
        <f t="shared" si="6"/>
        <v>0.315</v>
      </c>
      <c r="I16" s="10">
        <f t="shared" si="6"/>
        <v>0.315</v>
      </c>
      <c r="J16" s="10">
        <f t="shared" si="6"/>
        <v>0.315</v>
      </c>
      <c r="K16" s="10">
        <f t="shared" si="6"/>
        <v>0.315</v>
      </c>
      <c r="L16" s="10">
        <f t="shared" si="6"/>
        <v>0.315</v>
      </c>
      <c r="M16" s="70" t="s">
        <v>179</v>
      </c>
      <c r="N16" s="104">
        <f xml:space="preserve"> (E6/1000)*(0.9*365*F5)</f>
        <v>1064628.6726600002</v>
      </c>
      <c r="O16" s="101">
        <f>($N$16-($N$16-O11))/$N$16</f>
        <v>7.4351485459456051E-2</v>
      </c>
      <c r="P16" s="101">
        <f t="shared" ref="P16:U16" si="7">($N$16-($N$16-P11))/$N$16</f>
        <v>6.2621694617172249E-2</v>
      </c>
      <c r="Q16" s="101">
        <f t="shared" si="7"/>
        <v>0.10591357326801089</v>
      </c>
      <c r="R16" s="101">
        <f t="shared" si="7"/>
        <v>0.10589787073676281</v>
      </c>
      <c r="S16" s="101">
        <f t="shared" si="7"/>
        <v>0.19990892531876142</v>
      </c>
      <c r="T16" s="101">
        <f t="shared" si="7"/>
        <v>0.19818164688147732</v>
      </c>
      <c r="U16" s="101">
        <f t="shared" si="7"/>
        <v>0.40108975566861366</v>
      </c>
      <c r="V16" s="100" t="s">
        <v>188</v>
      </c>
    </row>
    <row r="17" spans="1:22" ht="29.5" thickBot="1" x14ac:dyDescent="0.4">
      <c r="A17" s="13"/>
      <c r="B17" s="216"/>
      <c r="C17" s="17" t="s">
        <v>116</v>
      </c>
      <c r="D17" s="7" t="s">
        <v>142</v>
      </c>
      <c r="E17" s="76"/>
      <c r="F17" s="10">
        <f>(1.3*$F$63)</f>
        <v>1.3520000000000001</v>
      </c>
      <c r="G17" s="10">
        <f t="shared" ref="G17:L17" si="8">1.3*$F$63</f>
        <v>1.3520000000000001</v>
      </c>
      <c r="H17" s="10">
        <f t="shared" si="8"/>
        <v>1.3520000000000001</v>
      </c>
      <c r="I17" s="10">
        <f t="shared" si="8"/>
        <v>1.3520000000000001</v>
      </c>
      <c r="J17" s="10">
        <f t="shared" si="8"/>
        <v>1.3520000000000001</v>
      </c>
      <c r="K17" s="10">
        <f t="shared" si="8"/>
        <v>1.3520000000000001</v>
      </c>
      <c r="L17" s="10">
        <f t="shared" si="8"/>
        <v>1.3520000000000001</v>
      </c>
      <c r="M17" s="62" t="s">
        <v>180</v>
      </c>
      <c r="N17" s="103">
        <f>10*N16</f>
        <v>10646286.726600002</v>
      </c>
      <c r="O17" s="108">
        <f>($N$17-($N$17-$O$12))/$N$17</f>
        <v>7.4351485459456093E-2</v>
      </c>
      <c r="P17" s="108">
        <f t="shared" ref="P17:U17" si="9">($N$17-($N$17-P12))/$N$17</f>
        <v>6.2621694617172319E-2</v>
      </c>
      <c r="Q17" s="108">
        <f t="shared" si="9"/>
        <v>0.10591357326801094</v>
      </c>
      <c r="R17" s="108">
        <f t="shared" si="9"/>
        <v>0.10589787073676288</v>
      </c>
      <c r="S17" s="108">
        <f t="shared" si="9"/>
        <v>0.19990892531876139</v>
      </c>
      <c r="T17" s="108">
        <f t="shared" si="9"/>
        <v>0.19818164688147721</v>
      </c>
      <c r="U17" s="108">
        <f t="shared" si="9"/>
        <v>0.40108975566861371</v>
      </c>
      <c r="V17" s="100"/>
    </row>
    <row r="18" spans="1:22" x14ac:dyDescent="0.35">
      <c r="A18" s="13"/>
      <c r="B18" s="216"/>
      <c r="C18" s="16" t="s">
        <v>117</v>
      </c>
      <c r="D18" s="7" t="s">
        <v>142</v>
      </c>
      <c r="E18" s="76"/>
      <c r="F18" s="10">
        <f>(0.03*$F$64)*(1-10%)</f>
        <v>2.835E-2</v>
      </c>
      <c r="G18" s="10">
        <f t="shared" ref="G18:L18" si="10">0.03*$F$64</f>
        <v>3.15E-2</v>
      </c>
      <c r="H18" s="10">
        <f t="shared" si="10"/>
        <v>3.15E-2</v>
      </c>
      <c r="I18" s="10">
        <f t="shared" si="10"/>
        <v>3.15E-2</v>
      </c>
      <c r="J18" s="10">
        <f t="shared" si="10"/>
        <v>3.15E-2</v>
      </c>
      <c r="K18" s="10">
        <f t="shared" si="10"/>
        <v>3.15E-2</v>
      </c>
      <c r="L18" s="10">
        <f t="shared" si="10"/>
        <v>3.15E-2</v>
      </c>
    </row>
    <row r="19" spans="1:22" x14ac:dyDescent="0.35">
      <c r="A19" s="13"/>
      <c r="B19" s="216"/>
      <c r="C19" s="16" t="s">
        <v>118</v>
      </c>
      <c r="D19" s="7" t="s">
        <v>142</v>
      </c>
      <c r="E19" s="76"/>
      <c r="F19" s="10">
        <f>(0.06*$F$65)</f>
        <v>6.4799999999999996E-2</v>
      </c>
      <c r="G19" s="10">
        <f t="shared" ref="G19:L19" si="11">0.06*$F$65</f>
        <v>6.4799999999999996E-2</v>
      </c>
      <c r="H19" s="10">
        <f t="shared" si="11"/>
        <v>6.4799999999999996E-2</v>
      </c>
      <c r="I19" s="10">
        <f t="shared" si="11"/>
        <v>6.4799999999999996E-2</v>
      </c>
      <c r="J19" s="10">
        <f t="shared" si="11"/>
        <v>6.4799999999999996E-2</v>
      </c>
      <c r="K19" s="10">
        <f t="shared" si="11"/>
        <v>6.4799999999999996E-2</v>
      </c>
      <c r="L19" s="10">
        <f t="shared" si="11"/>
        <v>6.4799999999999996E-2</v>
      </c>
    </row>
    <row r="20" spans="1:22" x14ac:dyDescent="0.35">
      <c r="A20" s="13"/>
      <c r="B20" s="216"/>
      <c r="C20" s="16" t="s">
        <v>119</v>
      </c>
      <c r="D20" s="7" t="s">
        <v>142</v>
      </c>
      <c r="E20" s="76"/>
      <c r="F20" s="7">
        <f>(0.25*$F$66)</f>
        <v>0.26</v>
      </c>
      <c r="G20" s="7">
        <f t="shared" ref="G20:L20" si="12">0.25*$F$66</f>
        <v>0.26</v>
      </c>
      <c r="H20" s="7">
        <f t="shared" si="12"/>
        <v>0.26</v>
      </c>
      <c r="I20" s="7">
        <f t="shared" si="12"/>
        <v>0.26</v>
      </c>
      <c r="J20" s="7">
        <f t="shared" si="12"/>
        <v>0.26</v>
      </c>
      <c r="K20" s="7">
        <f t="shared" si="12"/>
        <v>0.26</v>
      </c>
      <c r="L20" s="7">
        <f t="shared" si="12"/>
        <v>0.26</v>
      </c>
    </row>
    <row r="21" spans="1:22" x14ac:dyDescent="0.35">
      <c r="A21" s="13"/>
      <c r="B21" s="216"/>
      <c r="C21" s="16" t="s">
        <v>120</v>
      </c>
      <c r="D21" s="7" t="s">
        <v>142</v>
      </c>
      <c r="E21" s="76"/>
      <c r="F21" s="10">
        <f>(1.65*$F$67)</f>
        <v>1.716</v>
      </c>
      <c r="G21" s="10">
        <f t="shared" ref="G21:L21" si="13">1.65*$F$67</f>
        <v>1.716</v>
      </c>
      <c r="H21" s="10">
        <f t="shared" si="13"/>
        <v>1.716</v>
      </c>
      <c r="I21" s="10">
        <f t="shared" si="13"/>
        <v>1.716</v>
      </c>
      <c r="J21" s="10">
        <f t="shared" si="13"/>
        <v>1.716</v>
      </c>
      <c r="K21" s="10">
        <f t="shared" si="13"/>
        <v>1.716</v>
      </c>
      <c r="L21" s="10">
        <f t="shared" si="13"/>
        <v>1.716</v>
      </c>
    </row>
    <row r="22" spans="1:22" x14ac:dyDescent="0.35">
      <c r="A22" s="13"/>
      <c r="B22" s="216"/>
      <c r="C22" s="16" t="s">
        <v>121</v>
      </c>
      <c r="D22" s="7" t="s">
        <v>142</v>
      </c>
      <c r="E22" s="76"/>
      <c r="F22" s="10">
        <f>(0.01*$F$68)*(1-10%)</f>
        <v>9.4500000000000001E-3</v>
      </c>
      <c r="G22" s="10">
        <f t="shared" ref="G22:L22" si="14">0.01*$F$68</f>
        <v>1.0500000000000001E-2</v>
      </c>
      <c r="H22" s="10">
        <f t="shared" si="14"/>
        <v>1.0500000000000001E-2</v>
      </c>
      <c r="I22" s="10">
        <f t="shared" si="14"/>
        <v>1.0500000000000001E-2</v>
      </c>
      <c r="J22" s="10">
        <f t="shared" si="14"/>
        <v>1.0500000000000001E-2</v>
      </c>
      <c r="K22" s="10">
        <f t="shared" si="14"/>
        <v>1.0500000000000001E-2</v>
      </c>
      <c r="L22" s="10">
        <f t="shared" si="14"/>
        <v>1.0500000000000001E-2</v>
      </c>
    </row>
    <row r="23" spans="1:22" x14ac:dyDescent="0.35">
      <c r="A23" s="13"/>
      <c r="B23" s="216"/>
      <c r="C23" s="16" t="s">
        <v>122</v>
      </c>
      <c r="D23" s="7" t="s">
        <v>142</v>
      </c>
      <c r="E23" s="76"/>
      <c r="F23" s="10">
        <f>(1.84*$F$69)</f>
        <v>1.9136000000000002</v>
      </c>
      <c r="G23" s="10">
        <f t="shared" ref="G23:L23" si="15">1.84*$F$69</f>
        <v>1.9136000000000002</v>
      </c>
      <c r="H23" s="10">
        <f t="shared" si="15"/>
        <v>1.9136000000000002</v>
      </c>
      <c r="I23" s="10">
        <f t="shared" si="15"/>
        <v>1.9136000000000002</v>
      </c>
      <c r="J23" s="10">
        <f t="shared" si="15"/>
        <v>1.9136000000000002</v>
      </c>
      <c r="K23" s="10">
        <f t="shared" si="15"/>
        <v>1.9136000000000002</v>
      </c>
      <c r="L23" s="10">
        <f t="shared" si="15"/>
        <v>1.9136000000000002</v>
      </c>
    </row>
    <row r="24" spans="1:22" x14ac:dyDescent="0.35">
      <c r="A24" s="13"/>
      <c r="B24" s="216"/>
      <c r="C24" s="16" t="s">
        <v>123</v>
      </c>
      <c r="D24" s="7" t="s">
        <v>142</v>
      </c>
      <c r="E24" s="76"/>
      <c r="F24" s="10">
        <f>(5.8*F70)</f>
        <v>6.032</v>
      </c>
      <c r="G24" s="10">
        <f>5.8*F70</f>
        <v>6.032</v>
      </c>
      <c r="H24" s="10">
        <f>5.8*F70</f>
        <v>6.032</v>
      </c>
      <c r="I24" s="10">
        <f>5.8*F70</f>
        <v>6.032</v>
      </c>
      <c r="J24" s="10">
        <f>5.8*F70</f>
        <v>6.032</v>
      </c>
      <c r="K24" s="10">
        <f>5.8*F70</f>
        <v>6.032</v>
      </c>
      <c r="L24" s="10">
        <f>5.8*G70</f>
        <v>0</v>
      </c>
    </row>
    <row r="25" spans="1:22" ht="29" x14ac:dyDescent="0.35">
      <c r="A25" s="13"/>
      <c r="B25" s="216"/>
      <c r="C25" s="17" t="s">
        <v>124</v>
      </c>
      <c r="D25" s="7" t="s">
        <v>142</v>
      </c>
      <c r="E25" s="76"/>
      <c r="F25" s="10">
        <f>(1.5*(POWER($D$71,$E$71))*$F$71)</f>
        <v>2.0080811191136898</v>
      </c>
      <c r="G25" s="10">
        <f t="shared" ref="G25:L25" si="16">1.5*(POWER($D$71,$E$71))*$F$71</f>
        <v>2.0080811191136898</v>
      </c>
      <c r="H25" s="10">
        <f t="shared" si="16"/>
        <v>2.0080811191136898</v>
      </c>
      <c r="I25" s="10">
        <f t="shared" si="16"/>
        <v>2.0080811191136898</v>
      </c>
      <c r="J25" s="10">
        <f t="shared" si="16"/>
        <v>2.0080811191136898</v>
      </c>
      <c r="K25" s="10">
        <f t="shared" si="16"/>
        <v>2.0080811191136898</v>
      </c>
      <c r="L25" s="10">
        <f t="shared" si="16"/>
        <v>2.0080811191136898</v>
      </c>
    </row>
    <row r="26" spans="1:22" x14ac:dyDescent="0.35">
      <c r="A26" s="13"/>
      <c r="B26" s="216"/>
      <c r="C26" s="16" t="s">
        <v>127</v>
      </c>
      <c r="D26" s="7" t="s">
        <v>142</v>
      </c>
      <c r="E26" s="76"/>
      <c r="F26" s="10">
        <f>(6.44*(POWER($D$72,$E$72))*$F$72)</f>
        <v>11.820992664231474</v>
      </c>
      <c r="G26" s="10">
        <f t="shared" ref="G26:L26" si="17">6.44*(POWER($D$72,$E$72))*$F$72</f>
        <v>11.820992664231474</v>
      </c>
      <c r="H26" s="10">
        <f t="shared" si="17"/>
        <v>11.820992664231474</v>
      </c>
      <c r="I26" s="10">
        <f t="shared" si="17"/>
        <v>11.820992664231474</v>
      </c>
      <c r="J26" s="10">
        <f t="shared" si="17"/>
        <v>11.820992664231474</v>
      </c>
      <c r="K26" s="10">
        <f t="shared" si="17"/>
        <v>11.820992664231474</v>
      </c>
      <c r="L26" s="10">
        <f t="shared" si="17"/>
        <v>11.820992664231474</v>
      </c>
    </row>
    <row r="27" spans="1:22" ht="15.5" x14ac:dyDescent="0.35">
      <c r="A27" s="13"/>
      <c r="B27" s="216"/>
      <c r="C27" s="38" t="s">
        <v>128</v>
      </c>
      <c r="D27" s="7" t="s">
        <v>141</v>
      </c>
      <c r="E27" s="75">
        <f>SUM(E10:E26)</f>
        <v>245</v>
      </c>
      <c r="F27" s="75">
        <f>((SUM(F11:F26)+(D74)*SUM(F11:F26)))+F10</f>
        <v>292.06063209145145</v>
      </c>
      <c r="G27" s="75">
        <f t="shared" ref="G27:L27" si="18">((SUM(G11:G26)+($D$74)*SUM(G11:G26)))+G10</f>
        <v>285.3083711616797</v>
      </c>
      <c r="H27" s="75">
        <f t="shared" si="18"/>
        <v>290.8807883762276</v>
      </c>
      <c r="I27" s="75">
        <f t="shared" si="18"/>
        <v>290.8807883762276</v>
      </c>
      <c r="J27" s="75">
        <f t="shared" si="18"/>
        <v>307.0855693059994</v>
      </c>
      <c r="K27" s="75">
        <f t="shared" si="18"/>
        <v>307.0855693059994</v>
      </c>
      <c r="L27" s="75">
        <f t="shared" si="18"/>
        <v>284.2455883762276</v>
      </c>
    </row>
    <row r="28" spans="1:22" ht="16" thickBot="1" x14ac:dyDescent="0.4">
      <c r="A28" s="13"/>
      <c r="B28" s="217"/>
      <c r="C28" s="74" t="s">
        <v>139</v>
      </c>
      <c r="D28" s="131" t="s">
        <v>205</v>
      </c>
      <c r="E28" s="93">
        <f>PMT($D$75,$D$76,-E$27)</f>
        <v>52.612468716193099</v>
      </c>
      <c r="F28" s="93">
        <f>(PMT($D$75,$D$76,-F$27))</f>
        <v>62.718493343441111</v>
      </c>
      <c r="G28" s="93">
        <f>PMT($D$75,$D$76,-G$27)</f>
        <v>61.268480621272992</v>
      </c>
      <c r="H28" s="93">
        <f t="shared" ref="H28:L28" si="19">PMT($D$75,$D$76,-H$27)</f>
        <v>62.465128075860655</v>
      </c>
      <c r="I28" s="93">
        <f t="shared" si="19"/>
        <v>62.465128075860655</v>
      </c>
      <c r="J28" s="93">
        <f t="shared" si="19"/>
        <v>65.94502003390302</v>
      </c>
      <c r="K28" s="93">
        <f t="shared" si="19"/>
        <v>65.94502003390302</v>
      </c>
      <c r="L28" s="93">
        <f t="shared" si="19"/>
        <v>61.040253576163984</v>
      </c>
    </row>
    <row r="29" spans="1:22" x14ac:dyDescent="0.35">
      <c r="A29" s="213"/>
      <c r="B29" s="194" t="s">
        <v>43</v>
      </c>
      <c r="C29" s="7" t="s">
        <v>109</v>
      </c>
      <c r="D29" s="28" t="s">
        <v>161</v>
      </c>
      <c r="E29" s="91"/>
      <c r="F29" s="95">
        <f>10.6*(1+G58)</f>
        <v>11.90592</v>
      </c>
      <c r="G29" s="91"/>
      <c r="H29" s="91"/>
      <c r="I29" s="91"/>
      <c r="J29" s="95">
        <f>F29</f>
        <v>11.90592</v>
      </c>
      <c r="K29" s="96">
        <f>J29</f>
        <v>11.90592</v>
      </c>
      <c r="L29" s="91"/>
    </row>
    <row r="30" spans="1:22" x14ac:dyDescent="0.35">
      <c r="A30" s="214"/>
      <c r="B30" s="195"/>
      <c r="C30" s="7" t="s">
        <v>110</v>
      </c>
      <c r="D30" s="7" t="s">
        <v>143</v>
      </c>
      <c r="E30" s="76"/>
      <c r="F30" s="76"/>
      <c r="G30" s="10">
        <f>1.4*(1+G58)</f>
        <v>1.5724799999999999</v>
      </c>
      <c r="H30" s="76"/>
      <c r="I30" s="76"/>
      <c r="J30" s="10">
        <f>G30</f>
        <v>1.5724799999999999</v>
      </c>
      <c r="K30" s="47">
        <f>J30</f>
        <v>1.5724799999999999</v>
      </c>
      <c r="L30" s="76"/>
    </row>
    <row r="31" spans="1:22" ht="29" x14ac:dyDescent="0.35">
      <c r="A31" s="214"/>
      <c r="B31" s="195"/>
      <c r="C31" s="15" t="s">
        <v>111</v>
      </c>
      <c r="D31" s="7" t="s">
        <v>143</v>
      </c>
      <c r="E31" s="76"/>
      <c r="F31" s="76"/>
      <c r="G31" s="76"/>
      <c r="H31" s="10">
        <f>4.13*(1+G58)</f>
        <v>4.6388159999999994</v>
      </c>
      <c r="I31" s="10">
        <v>4.6388159999999994</v>
      </c>
      <c r="J31" s="10">
        <f>H31</f>
        <v>4.6388159999999994</v>
      </c>
      <c r="K31" s="47">
        <f>J31</f>
        <v>4.6388159999999994</v>
      </c>
      <c r="L31" s="10">
        <f>4.13*(1+K58)</f>
        <v>4.13</v>
      </c>
    </row>
    <row r="32" spans="1:22" ht="29" x14ac:dyDescent="0.35">
      <c r="A32" s="214"/>
      <c r="B32" s="195"/>
      <c r="C32" s="15" t="s">
        <v>129</v>
      </c>
      <c r="D32" s="7" t="s">
        <v>161</v>
      </c>
      <c r="E32" s="76"/>
      <c r="F32" s="10">
        <f>2.18*(1+G58)</f>
        <v>2.4485760000000001</v>
      </c>
      <c r="G32" s="10">
        <v>2.4485760000000001</v>
      </c>
      <c r="H32" s="10">
        <v>2.4485760000000001</v>
      </c>
      <c r="I32" s="10">
        <v>2.4485760000000001</v>
      </c>
      <c r="J32" s="10">
        <v>2.4485760000000001</v>
      </c>
      <c r="K32" s="10">
        <v>2.4485760000000001</v>
      </c>
      <c r="L32" s="10">
        <v>2.4485760000000001</v>
      </c>
    </row>
    <row r="33" spans="1:12" ht="29" x14ac:dyDescent="0.35">
      <c r="A33" s="214"/>
      <c r="B33" s="195"/>
      <c r="C33" s="15" t="s">
        <v>129</v>
      </c>
      <c r="D33" s="7" t="s">
        <v>143</v>
      </c>
      <c r="E33" s="76"/>
      <c r="F33" s="10">
        <f>-0.23*(1+G58)</f>
        <v>-0.25833600000000001</v>
      </c>
      <c r="G33" s="10">
        <v>-0.25833600000000001</v>
      </c>
      <c r="H33" s="10">
        <v>-0.25833600000000001</v>
      </c>
      <c r="I33" s="10">
        <v>-0.25833600000000001</v>
      </c>
      <c r="J33" s="10">
        <v>-0.25833600000000001</v>
      </c>
      <c r="K33" s="10">
        <v>-0.25833600000000001</v>
      </c>
      <c r="L33" s="10">
        <v>-0.25833600000000001</v>
      </c>
    </row>
    <row r="34" spans="1:12" ht="29" x14ac:dyDescent="0.35">
      <c r="A34" s="214"/>
      <c r="B34" s="195"/>
      <c r="C34" s="15" t="s">
        <v>130</v>
      </c>
      <c r="D34" s="7" t="s">
        <v>143</v>
      </c>
      <c r="E34" s="76"/>
      <c r="F34" s="7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</row>
    <row r="35" spans="1:12" x14ac:dyDescent="0.35">
      <c r="A35" s="214"/>
      <c r="B35" s="195"/>
      <c r="C35" s="7" t="s">
        <v>131</v>
      </c>
      <c r="D35" s="7" t="s">
        <v>161</v>
      </c>
      <c r="E35" s="76"/>
      <c r="F35" s="7">
        <v>2.5000000000000001E-2</v>
      </c>
      <c r="G35" s="10">
        <v>2.5000000000000001E-2</v>
      </c>
      <c r="H35" s="10">
        <v>2.5000000000000001E-2</v>
      </c>
      <c r="I35" s="10">
        <v>2.5000000000000001E-2</v>
      </c>
      <c r="J35" s="10">
        <v>2.5000000000000001E-2</v>
      </c>
      <c r="K35" s="10">
        <v>2.5000000000000001E-2</v>
      </c>
      <c r="L35" s="10">
        <v>2.5000000000000001E-2</v>
      </c>
    </row>
    <row r="36" spans="1:12" x14ac:dyDescent="0.35">
      <c r="A36" s="214"/>
      <c r="B36" s="195"/>
      <c r="C36" s="7" t="s">
        <v>132</v>
      </c>
      <c r="D36" s="7" t="s">
        <v>143</v>
      </c>
      <c r="E36" s="76"/>
      <c r="F36" s="7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</row>
    <row r="37" spans="1:12" x14ac:dyDescent="0.35">
      <c r="A37" s="214"/>
      <c r="B37" s="195"/>
      <c r="C37" s="7" t="s">
        <v>133</v>
      </c>
      <c r="D37" s="7" t="s">
        <v>143</v>
      </c>
      <c r="E37" s="76"/>
      <c r="F37" s="7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</row>
    <row r="38" spans="1:12" x14ac:dyDescent="0.35">
      <c r="A38" s="214"/>
      <c r="B38" s="195"/>
      <c r="C38" s="7" t="s">
        <v>134</v>
      </c>
      <c r="D38" s="7" t="s">
        <v>161</v>
      </c>
      <c r="E38" s="76"/>
      <c r="F38" s="7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</row>
    <row r="39" spans="1:12" x14ac:dyDescent="0.35">
      <c r="A39" s="214"/>
      <c r="B39" s="195"/>
      <c r="C39" s="7" t="s">
        <v>135</v>
      </c>
      <c r="D39" s="7" t="s">
        <v>143</v>
      </c>
      <c r="E39" s="76"/>
      <c r="F39" s="10">
        <f>-0.4*(1+G58)</f>
        <v>-0.44928000000000001</v>
      </c>
      <c r="G39" s="10">
        <v>-0.44928000000000001</v>
      </c>
      <c r="H39" s="10">
        <v>-0.44928000000000001</v>
      </c>
      <c r="I39" s="10">
        <v>-0.44928000000000001</v>
      </c>
      <c r="J39" s="10">
        <v>-0.44928000000000001</v>
      </c>
      <c r="K39" s="10">
        <v>-0.44928000000000001</v>
      </c>
      <c r="L39" s="10">
        <v>-0.44928000000000001</v>
      </c>
    </row>
    <row r="40" spans="1:12" x14ac:dyDescent="0.35">
      <c r="A40" s="214"/>
      <c r="B40" s="195"/>
      <c r="C40" s="7" t="s">
        <v>136</v>
      </c>
      <c r="D40" s="7" t="s">
        <v>143</v>
      </c>
      <c r="E40" s="76"/>
      <c r="F40" s="7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</row>
    <row r="41" spans="1:12" x14ac:dyDescent="0.35">
      <c r="A41" s="214"/>
      <c r="B41" s="195"/>
      <c r="C41" s="7" t="s">
        <v>189</v>
      </c>
      <c r="D41" s="7" t="s">
        <v>161</v>
      </c>
      <c r="E41" s="76"/>
      <c r="F41" s="10">
        <f>0.0082*(1+G58)</f>
        <v>9.2102399999999997E-3</v>
      </c>
      <c r="G41" s="10">
        <f>0.0082*(1+G58)</f>
        <v>9.2102399999999997E-3</v>
      </c>
      <c r="H41" s="10">
        <f>0.0082*(1+G58)</f>
        <v>9.2102399999999997E-3</v>
      </c>
      <c r="I41" s="10">
        <f>0.0082*(1+G58)</f>
        <v>9.2102399999999997E-3</v>
      </c>
      <c r="J41" s="10">
        <f>0.0082*(1+G58)</f>
        <v>9.2102399999999997E-3</v>
      </c>
      <c r="K41" s="10">
        <f>0.0082*(1+G58)</f>
        <v>9.2102399999999997E-3</v>
      </c>
      <c r="L41" s="10">
        <f>0.0082*(1+K58)</f>
        <v>8.2000000000000007E-3</v>
      </c>
    </row>
    <row r="42" spans="1:12" ht="29" x14ac:dyDescent="0.35">
      <c r="A42" s="214"/>
      <c r="B42" s="195"/>
      <c r="C42" s="15" t="s">
        <v>137</v>
      </c>
      <c r="D42" s="7" t="s">
        <v>143</v>
      </c>
      <c r="E42" s="76"/>
      <c r="F42" s="10">
        <f>0.74*(1+G58)</f>
        <v>0.83116800000000002</v>
      </c>
      <c r="G42" s="10">
        <v>0.83116800000000002</v>
      </c>
      <c r="H42" s="10">
        <v>0.83116800000000002</v>
      </c>
      <c r="I42" s="10">
        <v>0.83116800000000002</v>
      </c>
      <c r="J42" s="10">
        <v>0.83116800000000002</v>
      </c>
      <c r="K42" s="10">
        <v>0.83116800000000002</v>
      </c>
      <c r="L42" s="10">
        <v>0.83116800000000002</v>
      </c>
    </row>
    <row r="43" spans="1:12" x14ac:dyDescent="0.35">
      <c r="A43" s="214"/>
      <c r="B43" s="195"/>
      <c r="C43" s="7" t="s">
        <v>138</v>
      </c>
      <c r="D43" s="7" t="s">
        <v>143</v>
      </c>
      <c r="E43" s="76"/>
      <c r="F43" s="10">
        <f>0.97*(1+G58)</f>
        <v>1.089504</v>
      </c>
      <c r="G43" s="10">
        <v>1.089504</v>
      </c>
      <c r="H43" s="10">
        <v>1.089504</v>
      </c>
      <c r="I43" s="10">
        <v>1.089504</v>
      </c>
      <c r="J43" s="10">
        <v>1.089504</v>
      </c>
      <c r="K43" s="10">
        <v>1.089504</v>
      </c>
      <c r="L43" s="10">
        <v>1.089504</v>
      </c>
    </row>
    <row r="44" spans="1:12" x14ac:dyDescent="0.35">
      <c r="A44" s="214"/>
      <c r="B44" s="195"/>
      <c r="C44" s="7" t="s">
        <v>160</v>
      </c>
      <c r="D44" s="7" t="s">
        <v>161</v>
      </c>
      <c r="E44" s="94">
        <f t="shared" ref="E44:L44" si="20">(0*(E$6/1000*0.9*365*$E$5))/1000000</f>
        <v>0</v>
      </c>
      <c r="F44" s="94">
        <f t="shared" si="20"/>
        <v>0</v>
      </c>
      <c r="G44" s="94">
        <f t="shared" si="20"/>
        <v>0</v>
      </c>
      <c r="H44" s="94">
        <f t="shared" si="20"/>
        <v>0</v>
      </c>
      <c r="I44" s="94">
        <f t="shared" si="20"/>
        <v>0</v>
      </c>
      <c r="J44" s="94">
        <f t="shared" si="20"/>
        <v>0</v>
      </c>
      <c r="K44" s="94">
        <f t="shared" si="20"/>
        <v>0</v>
      </c>
      <c r="L44" s="136">
        <f t="shared" si="20"/>
        <v>0</v>
      </c>
    </row>
    <row r="45" spans="1:12" x14ac:dyDescent="0.35">
      <c r="A45" s="214"/>
      <c r="B45" s="195"/>
      <c r="C45" s="7" t="s">
        <v>163</v>
      </c>
      <c r="D45" s="7" t="s">
        <v>143</v>
      </c>
      <c r="E45" s="10">
        <f>('Data, Utilities, Consumabales'!P4*('Data, Utilities, Consumabales'!E18)*365*E3)/1000000</f>
        <v>82.34599228442228</v>
      </c>
      <c r="F45" s="10">
        <f>('Data, Utilities, Consumabales'!Q4*'Data, Utilities, Consumabales'!E18*365*E3)/1000000</f>
        <v>77.222804666887285</v>
      </c>
      <c r="G45" s="10">
        <f>('Data, Utilities, Consumabales'!R4*'Data, Utilities, Consumabales'!E18*365*E3)/1000000</f>
        <v>77.085351022897299</v>
      </c>
      <c r="H45" s="10">
        <f>('Data, Utilities, Consumabales'!S4*'Data, Utilities, Consumabales'!E18*365*E3)/1000000</f>
        <v>77.128144541821285</v>
      </c>
      <c r="I45" s="10">
        <f>('Data, Utilities, Consumabales'!T4*'Data, Utilities, Consumabales'!E18*365*E3)/1000000</f>
        <v>77.259505386592281</v>
      </c>
      <c r="J45" s="10">
        <f>('Data, Utilities, Consumabales'!U4*'Data, Utilities, Consumabales'!E18*365*E3)/1000000</f>
        <v>53.441528127022281</v>
      </c>
      <c r="K45" s="47">
        <f>('Data, Utilities, Consumabales'!V4*'Data, Utilities, Consumabales'!E18*365*E3)/1000000</f>
        <v>53.74727384853729</v>
      </c>
      <c r="L45" s="10">
        <f>('Data, Utilities, Consumabales'!W4*'Data, Utilities, Consumabales'!E18*365*L3)/1000000</f>
        <v>33.94432958212029</v>
      </c>
    </row>
    <row r="46" spans="1:12" x14ac:dyDescent="0.35">
      <c r="A46" s="214"/>
      <c r="B46" s="195"/>
      <c r="C46" s="7" t="s">
        <v>165</v>
      </c>
      <c r="D46" s="7" t="s">
        <v>143</v>
      </c>
      <c r="E46" s="10">
        <f>('Data, Utilities, Consumabales'!F42*500)/1000000</f>
        <v>1.0887500000000001</v>
      </c>
      <c r="F46" s="10">
        <f>('Data, Utilities, Consumabales'!F42*505)/1000000</f>
        <v>1.0996375</v>
      </c>
      <c r="G46" s="10">
        <f>('Data, Utilities, Consumabales'!F42*505)/1000000</f>
        <v>1.0996375</v>
      </c>
      <c r="H46" s="10">
        <f>('Data, Utilities, Consumabales'!F42*515)/1000000</f>
        <v>1.1214124999999999</v>
      </c>
      <c r="I46" s="10">
        <f>('Data, Utilities, Consumabales'!F42*515)/1000000</f>
        <v>1.1214124999999999</v>
      </c>
      <c r="J46" s="10">
        <f>('Data, Utilities, Consumabales'!F42*525)/1000000</f>
        <v>1.1431875</v>
      </c>
      <c r="K46" s="47">
        <f>('Data, Utilities, Consumabales'!F42*525)/1000000</f>
        <v>1.1431875</v>
      </c>
      <c r="L46" s="10">
        <f>('Data, Utilities, Consumabales'!F42*515)/1000000</f>
        <v>1.1214124999999999</v>
      </c>
    </row>
    <row r="47" spans="1:12" x14ac:dyDescent="0.35">
      <c r="A47" s="214"/>
      <c r="B47" s="195"/>
      <c r="C47" s="15" t="s">
        <v>164</v>
      </c>
      <c r="D47" s="7" t="s">
        <v>161</v>
      </c>
      <c r="E47" s="10">
        <f>0.025*E27</f>
        <v>6.125</v>
      </c>
      <c r="F47" s="10">
        <f>0.025*E27</f>
        <v>6.125</v>
      </c>
      <c r="G47" s="10">
        <f>0.025*E27</f>
        <v>6.125</v>
      </c>
      <c r="H47" s="10">
        <f>0.025*E27</f>
        <v>6.125</v>
      </c>
      <c r="I47" s="10">
        <f>0.025*E27</f>
        <v>6.125</v>
      </c>
      <c r="J47" s="10">
        <f>0.025*E27</f>
        <v>6.125</v>
      </c>
      <c r="K47" s="10">
        <f>0.025*E27</f>
        <v>6.125</v>
      </c>
      <c r="L47" s="10">
        <f>0.025*I27</f>
        <v>7.27201970940569</v>
      </c>
    </row>
    <row r="48" spans="1:12" ht="29" x14ac:dyDescent="0.35">
      <c r="A48" s="214"/>
      <c r="B48" s="195"/>
      <c r="C48" s="15" t="s">
        <v>167</v>
      </c>
      <c r="D48" s="7" t="s">
        <v>161</v>
      </c>
      <c r="E48" s="10">
        <f t="shared" ref="E48:K48" si="21">0.4*E47</f>
        <v>2.4500000000000002</v>
      </c>
      <c r="F48" s="10">
        <f t="shared" si="21"/>
        <v>2.4500000000000002</v>
      </c>
      <c r="G48" s="10">
        <f t="shared" si="21"/>
        <v>2.4500000000000002</v>
      </c>
      <c r="H48" s="7">
        <f t="shared" si="21"/>
        <v>2.4500000000000002</v>
      </c>
      <c r="I48" s="10">
        <f t="shared" si="21"/>
        <v>2.4500000000000002</v>
      </c>
      <c r="J48" s="7">
        <f t="shared" si="21"/>
        <v>2.4500000000000002</v>
      </c>
      <c r="K48" s="19">
        <f t="shared" si="21"/>
        <v>2.4500000000000002</v>
      </c>
      <c r="L48" s="7">
        <f t="shared" ref="L48" si="22">0.4*L47</f>
        <v>2.9088078837622762</v>
      </c>
    </row>
    <row r="49" spans="1:12" ht="29" x14ac:dyDescent="0.35">
      <c r="A49" s="214"/>
      <c r="B49" s="195"/>
      <c r="C49" s="15" t="s">
        <v>166</v>
      </c>
      <c r="D49" s="7" t="s">
        <v>161</v>
      </c>
      <c r="E49" s="10">
        <f t="shared" ref="E49:K49" si="23">0.3*(E46+E48)</f>
        <v>1.061625</v>
      </c>
      <c r="F49" s="10">
        <f t="shared" si="23"/>
        <v>1.0648912500000001</v>
      </c>
      <c r="G49" s="10">
        <f t="shared" si="23"/>
        <v>1.0648912500000001</v>
      </c>
      <c r="H49" s="10">
        <f t="shared" si="23"/>
        <v>1.0714237499999999</v>
      </c>
      <c r="I49" s="10">
        <f t="shared" si="23"/>
        <v>1.0714237499999999</v>
      </c>
      <c r="J49" s="10">
        <f t="shared" si="23"/>
        <v>1.0779562499999999</v>
      </c>
      <c r="K49" s="10">
        <f t="shared" si="23"/>
        <v>1.0779562499999999</v>
      </c>
      <c r="L49" s="10">
        <f t="shared" ref="L49" si="24">0.3*(L46+L48)</f>
        <v>1.2090661151286828</v>
      </c>
    </row>
    <row r="50" spans="1:12" x14ac:dyDescent="0.35">
      <c r="A50" s="214"/>
      <c r="B50" s="195"/>
      <c r="C50" s="7" t="s">
        <v>168</v>
      </c>
      <c r="D50" s="7" t="s">
        <v>161</v>
      </c>
      <c r="E50" s="10">
        <f t="shared" ref="E50:K50" si="25">0.02*E27</f>
        <v>4.9000000000000004</v>
      </c>
      <c r="F50" s="10">
        <f t="shared" si="25"/>
        <v>5.8412126418290296</v>
      </c>
      <c r="G50" s="10">
        <f t="shared" si="25"/>
        <v>5.7061674232335937</v>
      </c>
      <c r="H50" s="10">
        <f t="shared" si="25"/>
        <v>5.8176157675245523</v>
      </c>
      <c r="I50" s="10">
        <f t="shared" si="25"/>
        <v>5.8176157675245523</v>
      </c>
      <c r="J50" s="10">
        <f t="shared" si="25"/>
        <v>6.1417113861199883</v>
      </c>
      <c r="K50" s="10">
        <f t="shared" si="25"/>
        <v>6.1417113861199883</v>
      </c>
      <c r="L50" s="10">
        <f t="shared" ref="L50" si="26">0.02*L27</f>
        <v>5.684911767524552</v>
      </c>
    </row>
    <row r="51" spans="1:12" ht="15" thickBot="1" x14ac:dyDescent="0.4">
      <c r="A51" s="214"/>
      <c r="B51" s="212"/>
      <c r="C51" s="39" t="s">
        <v>140</v>
      </c>
      <c r="D51" s="30" t="s">
        <v>162</v>
      </c>
      <c r="E51" s="92">
        <f>SUM(E44:E50)</f>
        <v>97.9713672844223</v>
      </c>
      <c r="F51" s="92">
        <f>(SUM(F29:F50))</f>
        <v>109.40530829871632</v>
      </c>
      <c r="G51" s="92">
        <f>SUM(G29:G50)</f>
        <v>98.799369436130902</v>
      </c>
      <c r="H51" s="92">
        <f>SUM(H31:H50)</f>
        <v>102.04825479934584</v>
      </c>
      <c r="I51" s="92">
        <f>SUM(I29:I50)</f>
        <v>102.17961564411684</v>
      </c>
      <c r="J51" s="92">
        <f>SUM(J29:J50)</f>
        <v>92.192441503142277</v>
      </c>
      <c r="K51" s="92">
        <f>SUM(K29:K50)</f>
        <v>92.498187224657286</v>
      </c>
      <c r="L51" s="92">
        <f>SUM(L29:L50)</f>
        <v>59.965379557941496</v>
      </c>
    </row>
    <row r="52" spans="1:12" ht="15" thickBot="1" x14ac:dyDescent="0.4"/>
    <row r="53" spans="1:12" x14ac:dyDescent="0.35">
      <c r="A53" s="13"/>
      <c r="B53" s="194" t="s">
        <v>174</v>
      </c>
      <c r="C53" s="97" t="s">
        <v>175</v>
      </c>
      <c r="D53" s="28" t="s">
        <v>170</v>
      </c>
      <c r="E53" s="28">
        <f>($E$5*'Data, Utilities, Consumabales'!E18)*365</f>
        <v>1671736.5000000002</v>
      </c>
      <c r="F53" s="28">
        <v>1671736.5</v>
      </c>
      <c r="G53" s="28">
        <v>1671736.5000000002</v>
      </c>
      <c r="H53" s="28">
        <v>1671736.5000000002</v>
      </c>
      <c r="I53" s="28">
        <v>1671736.5000000002</v>
      </c>
      <c r="J53" s="28">
        <v>1671736.5000000002</v>
      </c>
      <c r="K53" s="27">
        <v>1671736.5</v>
      </c>
      <c r="L53" s="29">
        <v>1671736.5</v>
      </c>
    </row>
    <row r="54" spans="1:12" x14ac:dyDescent="0.35">
      <c r="A54" s="13"/>
      <c r="B54" s="195"/>
      <c r="C54" s="46" t="s">
        <v>172</v>
      </c>
      <c r="D54" s="7" t="s">
        <v>171</v>
      </c>
      <c r="E54" s="7">
        <f>(E53*1000)/100</f>
        <v>16717365.000000002</v>
      </c>
      <c r="F54" s="7">
        <f t="shared" ref="F54:K54" si="27">E54</f>
        <v>16717365.000000002</v>
      </c>
      <c r="G54" s="7">
        <f t="shared" si="27"/>
        <v>16717365.000000002</v>
      </c>
      <c r="H54" s="7">
        <f t="shared" si="27"/>
        <v>16717365.000000002</v>
      </c>
      <c r="I54" s="7">
        <f t="shared" si="27"/>
        <v>16717365.000000002</v>
      </c>
      <c r="J54" s="7">
        <f t="shared" si="27"/>
        <v>16717365.000000002</v>
      </c>
      <c r="K54" s="16">
        <f t="shared" si="27"/>
        <v>16717365.000000002</v>
      </c>
      <c r="L54" s="19">
        <f>K54</f>
        <v>16717365.000000002</v>
      </c>
    </row>
    <row r="55" spans="1:12" ht="15" thickBot="1" x14ac:dyDescent="0.4">
      <c r="A55" s="13"/>
      <c r="B55" s="195"/>
      <c r="C55" s="48" t="s">
        <v>173</v>
      </c>
      <c r="D55" s="20" t="s">
        <v>181</v>
      </c>
      <c r="E55" s="132">
        <f>(E$54*$D$78) -((E$28+E$51)*1000000)</f>
        <v>31635442.499384612</v>
      </c>
      <c r="F55" s="133">
        <f>(F$54*$D$78) -((F$28+F$51)*1000000)</f>
        <v>10095476.857842594</v>
      </c>
      <c r="G55" s="133">
        <f t="shared" ref="G55:L55" si="28">(G$54*$D$78) -((G$28+G$51)*1000000)</f>
        <v>22151428.442596138</v>
      </c>
      <c r="H55" s="133">
        <f t="shared" si="28"/>
        <v>17705895.62479353</v>
      </c>
      <c r="I55" s="133">
        <f t="shared" si="28"/>
        <v>17574534.780022532</v>
      </c>
      <c r="J55" s="133">
        <f t="shared" si="28"/>
        <v>24081816.96295476</v>
      </c>
      <c r="K55" s="134">
        <f t="shared" si="28"/>
        <v>23776071.24143973</v>
      </c>
      <c r="L55" s="135">
        <f t="shared" si="28"/>
        <v>61213645.365894556</v>
      </c>
    </row>
    <row r="56" spans="1:12" ht="15" thickBot="1" x14ac:dyDescent="0.4"/>
    <row r="57" spans="1:12" ht="29.5" thickBot="1" x14ac:dyDescent="0.4">
      <c r="A57" s="13"/>
      <c r="B57" s="13"/>
      <c r="C57" s="31" t="s">
        <v>60</v>
      </c>
      <c r="D57" s="32" t="s">
        <v>103</v>
      </c>
      <c r="E57" s="32" t="s">
        <v>104</v>
      </c>
      <c r="F57" s="32" t="s">
        <v>105</v>
      </c>
      <c r="G57" s="32" t="s">
        <v>106</v>
      </c>
      <c r="H57" s="37" t="s">
        <v>81</v>
      </c>
    </row>
    <row r="58" spans="1:12" x14ac:dyDescent="0.35">
      <c r="A58" s="13"/>
      <c r="B58" s="13"/>
      <c r="C58" s="33" t="s">
        <v>102</v>
      </c>
      <c r="D58" s="14">
        <v>0.57999999999999996</v>
      </c>
      <c r="E58" s="14">
        <v>0.66</v>
      </c>
      <c r="F58" s="14">
        <v>1.05</v>
      </c>
      <c r="G58" s="218">
        <v>0.1232</v>
      </c>
      <c r="H58" s="221" t="s">
        <v>126</v>
      </c>
    </row>
    <row r="59" spans="1:12" x14ac:dyDescent="0.35">
      <c r="A59" s="13"/>
      <c r="B59" s="13"/>
      <c r="C59" s="33" t="s">
        <v>107</v>
      </c>
      <c r="D59" s="14">
        <v>1</v>
      </c>
      <c r="E59" s="14">
        <v>0.6</v>
      </c>
      <c r="F59" s="14">
        <v>1.05</v>
      </c>
      <c r="G59" s="219"/>
      <c r="H59" s="222"/>
    </row>
    <row r="60" spans="1:12" ht="15" customHeight="1" x14ac:dyDescent="0.35">
      <c r="A60" s="13"/>
      <c r="B60" s="13"/>
      <c r="C60" s="34" t="s">
        <v>108</v>
      </c>
      <c r="D60" s="14">
        <v>1.25</v>
      </c>
      <c r="E60" s="14">
        <v>0.66</v>
      </c>
      <c r="F60" s="14">
        <v>1.07</v>
      </c>
      <c r="G60" s="219"/>
      <c r="H60" s="222"/>
    </row>
    <row r="61" spans="1:12" x14ac:dyDescent="0.35">
      <c r="A61" s="13"/>
      <c r="B61" s="13"/>
      <c r="C61" s="34" t="s">
        <v>113</v>
      </c>
      <c r="D61" s="14"/>
      <c r="E61" s="14"/>
      <c r="F61" s="14">
        <v>1.05</v>
      </c>
      <c r="G61" s="219"/>
      <c r="H61" s="222"/>
    </row>
    <row r="62" spans="1:12" ht="29" x14ac:dyDescent="0.35">
      <c r="A62" s="13"/>
      <c r="B62" s="13"/>
      <c r="C62" s="34" t="s">
        <v>115</v>
      </c>
      <c r="D62" s="14"/>
      <c r="E62" s="14"/>
      <c r="F62" s="14">
        <v>1.05</v>
      </c>
      <c r="G62" s="219"/>
      <c r="H62" s="222"/>
    </row>
    <row r="63" spans="1:12" x14ac:dyDescent="0.35">
      <c r="A63" s="13"/>
      <c r="B63" s="13"/>
      <c r="C63" s="34" t="s">
        <v>116</v>
      </c>
      <c r="D63" s="14"/>
      <c r="E63" s="14"/>
      <c r="F63" s="14">
        <v>1.04</v>
      </c>
      <c r="G63" s="219"/>
      <c r="H63" s="222"/>
    </row>
    <row r="64" spans="1:12" x14ac:dyDescent="0.35">
      <c r="A64" s="13"/>
      <c r="B64" s="13"/>
      <c r="C64" s="34" t="s">
        <v>117</v>
      </c>
      <c r="D64" s="14"/>
      <c r="E64" s="14"/>
      <c r="F64" s="14">
        <v>1.05</v>
      </c>
      <c r="G64" s="219"/>
      <c r="H64" s="222"/>
    </row>
    <row r="65" spans="1:8" x14ac:dyDescent="0.35">
      <c r="A65" s="13"/>
      <c r="B65" s="13"/>
      <c r="C65" s="34" t="s">
        <v>118</v>
      </c>
      <c r="D65" s="14"/>
      <c r="E65" s="14"/>
      <c r="F65" s="14">
        <v>1.08</v>
      </c>
      <c r="G65" s="219"/>
      <c r="H65" s="222"/>
    </row>
    <row r="66" spans="1:8" x14ac:dyDescent="0.35">
      <c r="A66" s="13"/>
      <c r="B66" s="13"/>
      <c r="C66" s="34" t="s">
        <v>119</v>
      </c>
      <c r="D66" s="14"/>
      <c r="E66" s="14"/>
      <c r="F66" s="14">
        <v>1.04</v>
      </c>
      <c r="G66" s="219"/>
      <c r="H66" s="222"/>
    </row>
    <row r="67" spans="1:8" x14ac:dyDescent="0.35">
      <c r="A67" s="13"/>
      <c r="B67" s="13"/>
      <c r="C67" s="34" t="s">
        <v>120</v>
      </c>
      <c r="D67" s="14"/>
      <c r="E67" s="14"/>
      <c r="F67" s="14">
        <v>1.04</v>
      </c>
      <c r="G67" s="219"/>
      <c r="H67" s="222"/>
    </row>
    <row r="68" spans="1:8" x14ac:dyDescent="0.35">
      <c r="A68" s="13"/>
      <c r="B68" s="13"/>
      <c r="C68" s="34" t="s">
        <v>121</v>
      </c>
      <c r="D68" s="14"/>
      <c r="E68" s="14"/>
      <c r="F68" s="14">
        <v>1.05</v>
      </c>
      <c r="G68" s="219"/>
      <c r="H68" s="222"/>
    </row>
    <row r="69" spans="1:8" x14ac:dyDescent="0.35">
      <c r="A69" s="13"/>
      <c r="B69" s="13"/>
      <c r="C69" s="34" t="s">
        <v>122</v>
      </c>
      <c r="D69" s="14"/>
      <c r="E69" s="14"/>
      <c r="F69" s="14">
        <v>1.04</v>
      </c>
      <c r="G69" s="219"/>
      <c r="H69" s="222"/>
    </row>
    <row r="70" spans="1:8" x14ac:dyDescent="0.35">
      <c r="A70" s="13"/>
      <c r="B70" s="13"/>
      <c r="C70" s="34" t="s">
        <v>123</v>
      </c>
      <c r="D70" s="14"/>
      <c r="E70" s="14"/>
      <c r="F70" s="14">
        <v>1.04</v>
      </c>
      <c r="G70" s="219"/>
      <c r="H70" s="222"/>
    </row>
    <row r="71" spans="1:8" ht="29" x14ac:dyDescent="0.35">
      <c r="A71" s="13"/>
      <c r="B71" s="13"/>
      <c r="C71" s="34" t="s">
        <v>124</v>
      </c>
      <c r="D71" s="14">
        <v>1.2</v>
      </c>
      <c r="E71" s="14">
        <v>0.6</v>
      </c>
      <c r="F71" s="14">
        <v>1.2</v>
      </c>
      <c r="G71" s="219"/>
      <c r="H71" s="222"/>
    </row>
    <row r="72" spans="1:8" ht="15" thickBot="1" x14ac:dyDescent="0.4">
      <c r="A72" s="13"/>
      <c r="B72" s="13"/>
      <c r="C72" s="35" t="s">
        <v>127</v>
      </c>
      <c r="D72" s="36">
        <v>1.4</v>
      </c>
      <c r="E72" s="36">
        <v>0.6</v>
      </c>
      <c r="F72" s="36">
        <v>1.5</v>
      </c>
      <c r="G72" s="220"/>
      <c r="H72" s="223"/>
    </row>
    <row r="73" spans="1:8" ht="15" thickBot="1" x14ac:dyDescent="0.4"/>
    <row r="74" spans="1:8" x14ac:dyDescent="0.35">
      <c r="C74" s="71" t="s">
        <v>156</v>
      </c>
      <c r="D74" s="73">
        <v>0.1</v>
      </c>
      <c r="E74" s="29" t="s">
        <v>159</v>
      </c>
    </row>
    <row r="75" spans="1:8" x14ac:dyDescent="0.35">
      <c r="C75" s="34" t="s">
        <v>37</v>
      </c>
      <c r="D75" s="72">
        <v>0.21</v>
      </c>
      <c r="E75" s="19"/>
    </row>
    <row r="76" spans="1:8" ht="15" thickBot="1" x14ac:dyDescent="0.4">
      <c r="C76" s="35" t="s">
        <v>158</v>
      </c>
      <c r="D76" s="36">
        <v>20</v>
      </c>
      <c r="E76" s="21"/>
    </row>
    <row r="77" spans="1:8" ht="15" thickBot="1" x14ac:dyDescent="0.4"/>
    <row r="78" spans="1:8" ht="27.75" customHeight="1" x14ac:dyDescent="0.35">
      <c r="C78" s="71" t="s">
        <v>203</v>
      </c>
      <c r="D78" s="137">
        <v>10.9</v>
      </c>
      <c r="E78" s="138" t="s">
        <v>204</v>
      </c>
    </row>
    <row r="79" spans="1:8" ht="15" thickBot="1" x14ac:dyDescent="0.4">
      <c r="C79" s="35" t="s">
        <v>202</v>
      </c>
      <c r="D79" s="20" t="s">
        <v>201</v>
      </c>
      <c r="E79" s="21">
        <v>34.94</v>
      </c>
    </row>
  </sheetData>
  <mergeCells count="49">
    <mergeCell ref="AB2:AC2"/>
    <mergeCell ref="AB3:AB4"/>
    <mergeCell ref="AC3:AC4"/>
    <mergeCell ref="B1:AC1"/>
    <mergeCell ref="AA3:AA4"/>
    <mergeCell ref="Z2:AA2"/>
    <mergeCell ref="B2:D2"/>
    <mergeCell ref="W3:W4"/>
    <mergeCell ref="V2:W2"/>
    <mergeCell ref="X3:X4"/>
    <mergeCell ref="Y3:Y4"/>
    <mergeCell ref="X2:Y2"/>
    <mergeCell ref="Z3:Z4"/>
    <mergeCell ref="S3:S4"/>
    <mergeCell ref="R2:S2"/>
    <mergeCell ref="T3:T4"/>
    <mergeCell ref="G58:G72"/>
    <mergeCell ref="H58:H72"/>
    <mergeCell ref="U3:U4"/>
    <mergeCell ref="T2:U2"/>
    <mergeCell ref="V3:V4"/>
    <mergeCell ref="O3:O4"/>
    <mergeCell ref="N2:O2"/>
    <mergeCell ref="P2:Q2"/>
    <mergeCell ref="P3:P4"/>
    <mergeCell ref="Q3:Q4"/>
    <mergeCell ref="R3:R4"/>
    <mergeCell ref="M3:M4"/>
    <mergeCell ref="N3:N4"/>
    <mergeCell ref="A1:A8"/>
    <mergeCell ref="C6:C8"/>
    <mergeCell ref="D6:D8"/>
    <mergeCell ref="B29:B51"/>
    <mergeCell ref="A29:A51"/>
    <mergeCell ref="B10:B28"/>
    <mergeCell ref="B3:B5"/>
    <mergeCell ref="E6:E8"/>
    <mergeCell ref="F6:F8"/>
    <mergeCell ref="B53:B55"/>
    <mergeCell ref="M15:N15"/>
    <mergeCell ref="G6:G8"/>
    <mergeCell ref="H6:H8"/>
    <mergeCell ref="I6:I8"/>
    <mergeCell ref="J6:J8"/>
    <mergeCell ref="K6:K8"/>
    <mergeCell ref="M14:N14"/>
    <mergeCell ref="L6:L8"/>
    <mergeCell ref="B9:L9"/>
    <mergeCell ref="B6:B8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B3" sqref="B3"/>
    </sheetView>
  </sheetViews>
  <sheetFormatPr defaultRowHeight="14.5" x14ac:dyDescent="0.35"/>
  <cols>
    <col min="1" max="1" width="19" customWidth="1"/>
    <col min="2" max="2" width="16.6328125" customWidth="1"/>
    <col min="3" max="3" width="40.36328125" customWidth="1"/>
  </cols>
  <sheetData>
    <row r="1" spans="1:4" ht="21" x14ac:dyDescent="0.5">
      <c r="A1" s="235" t="s">
        <v>184</v>
      </c>
      <c r="B1" s="235"/>
      <c r="C1" s="235"/>
    </row>
    <row r="2" spans="1:4" ht="29" x14ac:dyDescent="0.35">
      <c r="A2" s="125" t="s">
        <v>182</v>
      </c>
      <c r="B2" s="125" t="s">
        <v>183</v>
      </c>
      <c r="C2" s="125" t="s">
        <v>185</v>
      </c>
      <c r="D2" s="66"/>
    </row>
    <row r="3" spans="1:4" x14ac:dyDescent="0.35">
      <c r="A3" s="126" t="s">
        <v>197</v>
      </c>
      <c r="B3" s="10">
        <f>'Economic &amp; COeq emission Abat. '!U10</f>
        <v>-69.267905397735731</v>
      </c>
      <c r="C3" s="127">
        <f>('Economic &amp; COeq emission Abat. '!U11)/1000000</f>
        <v>0.42701165419500003</v>
      </c>
      <c r="D3" s="66"/>
    </row>
    <row r="4" spans="1:4" x14ac:dyDescent="0.35">
      <c r="A4" s="126" t="s">
        <v>30</v>
      </c>
      <c r="B4" s="10">
        <f>'Economic &amp; COeq emission Abat. '!S10</f>
        <v>35.491561601514739</v>
      </c>
      <c r="C4" s="127">
        <f>('Economic &amp; COeq emission Abat. '!S11)/1000000</f>
        <v>0.21282877381500012</v>
      </c>
    </row>
    <row r="5" spans="1:4" x14ac:dyDescent="0.35">
      <c r="A5" s="126" t="s">
        <v>31</v>
      </c>
      <c r="B5" s="10">
        <f>'Economic &amp; COeq emission Abat. '!T10</f>
        <v>37.249994485155199</v>
      </c>
      <c r="C5" s="127">
        <f>('Economic &amp; COeq emission Abat. '!T11)/1000000</f>
        <v>0.21098986366500008</v>
      </c>
    </row>
    <row r="6" spans="1:4" x14ac:dyDescent="0.35">
      <c r="A6" s="126" t="s">
        <v>28</v>
      </c>
      <c r="B6" s="10">
        <f>'Economic &amp; COeq emission Abat. '!Q10</f>
        <v>123.53420092509776</v>
      </c>
      <c r="C6" s="127">
        <f>('Economic &amp; COeq emission Abat. '!Q11)/1000000</f>
        <v>0.11275862692500009</v>
      </c>
    </row>
    <row r="7" spans="1:4" x14ac:dyDescent="0.35">
      <c r="A7" s="126" t="s">
        <v>29</v>
      </c>
      <c r="B7" s="10">
        <f>'Economic &amp; COeq emission Abat. '!R10</f>
        <v>124.71766510109563</v>
      </c>
      <c r="C7" s="127">
        <f>('Economic &amp; COeq emission Abat. '!R11)/1000000</f>
        <v>0.11274190956000009</v>
      </c>
    </row>
    <row r="8" spans="1:4" x14ac:dyDescent="0.35">
      <c r="A8" s="128" t="s">
        <v>27</v>
      </c>
      <c r="B8" s="10">
        <f>'Economic &amp; COeq emission Abat. '!P10</f>
        <v>142.25554852580359</v>
      </c>
      <c r="C8" s="127">
        <f>('Economic &amp; COeq emission Abat. '!P11)/1000000</f>
        <v>6.6668851619999997E-2</v>
      </c>
    </row>
    <row r="9" spans="1:4" x14ac:dyDescent="0.35">
      <c r="A9" s="126" t="s">
        <v>26</v>
      </c>
      <c r="B9" s="10">
        <f>'Economic &amp; COeq emission Abat. '!O10</f>
        <v>272.11795474036438</v>
      </c>
      <c r="C9" s="127">
        <f>('Economic &amp; COeq emission Abat. '!O11)/1000000</f>
        <v>7.9156723275000035E-2</v>
      </c>
    </row>
  </sheetData>
  <sortState xmlns:xlrd2="http://schemas.microsoft.com/office/spreadsheetml/2017/richdata2" ref="B3:C8">
    <sortCondition ref="B3"/>
  </sortState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Authors</vt:lpstr>
      <vt:lpstr>Data, Utilities, Consumabales</vt:lpstr>
      <vt:lpstr>Economic &amp; COeq emission Abat. </vt:lpstr>
      <vt:lpstr>MACC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2026-10-07T19:58:41Z</dcterms:modified>
</cp:coreProperties>
</file>